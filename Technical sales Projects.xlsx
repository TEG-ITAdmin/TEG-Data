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nunez\Downloads\"/>
    </mc:Choice>
  </mc:AlternateContent>
  <xr:revisionPtr revIDLastSave="0" documentId="8_{48208999-1D93-44DF-BD13-4E4733BC6802}" xr6:coauthVersionLast="47" xr6:coauthVersionMax="47" xr10:uidLastSave="{00000000-0000-0000-0000-000000000000}"/>
  <bookViews>
    <workbookView xWindow="-38520" yWindow="-120" windowWidth="38640" windowHeight="21120" xr2:uid="{2E943164-A6F1-484D-976C-C165EA9A3CCF}"/>
  </bookViews>
  <sheets>
    <sheet name="Tech sales" sheetId="1" r:id="rId1"/>
  </sheets>
  <definedNames>
    <definedName name="_xlnm._FilterDatabase" localSheetId="0" hidden="1">'Tech sales'!$B$3:$X$522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29" i="1" l="1"/>
  <c r="S96" i="1"/>
  <c r="T522" i="1"/>
  <c r="T521" i="1"/>
  <c r="T520" i="1"/>
  <c r="T519" i="1"/>
  <c r="T518" i="1"/>
  <c r="T517" i="1"/>
  <c r="R516" i="1"/>
  <c r="S510" i="1"/>
  <c r="M500" i="1"/>
  <c r="M499" i="1"/>
  <c r="N499" i="1" s="1"/>
  <c r="M498" i="1"/>
  <c r="M497" i="1"/>
  <c r="M496" i="1"/>
  <c r="M495" i="1"/>
  <c r="M494" i="1"/>
  <c r="M493" i="1"/>
  <c r="N492" i="1"/>
  <c r="M492" i="1"/>
  <c r="M491" i="1"/>
  <c r="M490" i="1"/>
  <c r="M489" i="1"/>
  <c r="M488" i="1"/>
  <c r="M487" i="1"/>
  <c r="M486" i="1"/>
  <c r="N486" i="1" s="1"/>
  <c r="N485" i="1"/>
  <c r="M485" i="1"/>
  <c r="N484" i="1"/>
  <c r="M484" i="1"/>
  <c r="M483" i="1"/>
  <c r="N483" i="1" s="1"/>
  <c r="M482" i="1"/>
  <c r="M481" i="1"/>
  <c r="N481" i="1" s="1"/>
  <c r="M480" i="1"/>
  <c r="N480" i="1" s="1"/>
  <c r="M479" i="1"/>
  <c r="N479" i="1" s="1"/>
  <c r="M478" i="1"/>
  <c r="N477" i="1"/>
  <c r="M477" i="1"/>
  <c r="N476" i="1"/>
  <c r="M476" i="1"/>
  <c r="M475" i="1"/>
  <c r="M474" i="1"/>
  <c r="N474" i="1" s="1"/>
  <c r="M473" i="1"/>
  <c r="N473" i="1" s="1"/>
  <c r="N472" i="1"/>
  <c r="M472" i="1"/>
  <c r="M471" i="1"/>
  <c r="N470" i="1"/>
  <c r="M470" i="1"/>
  <c r="N469" i="1"/>
  <c r="M469" i="1"/>
  <c r="M468" i="1"/>
  <c r="N468" i="1" s="1"/>
  <c r="N467" i="1"/>
  <c r="M467" i="1"/>
  <c r="M466" i="1"/>
  <c r="S465" i="1"/>
  <c r="N465" i="1"/>
  <c r="M465" i="1"/>
  <c r="N464" i="1"/>
  <c r="M464" i="1"/>
  <c r="N463" i="1"/>
  <c r="M463" i="1"/>
  <c r="M462" i="1"/>
  <c r="N462" i="1" s="1"/>
  <c r="N461" i="1"/>
  <c r="M461" i="1"/>
  <c r="M460" i="1"/>
  <c r="N460" i="1" s="1"/>
  <c r="N459" i="1"/>
  <c r="M459" i="1"/>
  <c r="N458" i="1"/>
  <c r="M458" i="1"/>
  <c r="N457" i="1"/>
  <c r="M457" i="1"/>
  <c r="M456" i="1"/>
  <c r="N456" i="1" s="1"/>
  <c r="N455" i="1"/>
  <c r="M455" i="1"/>
  <c r="N454" i="1"/>
  <c r="N453" i="1"/>
  <c r="M453" i="1"/>
  <c r="M452" i="1"/>
  <c r="N452" i="1" s="1"/>
  <c r="M451" i="1"/>
  <c r="N451" i="1" s="1"/>
  <c r="M450" i="1"/>
  <c r="N450" i="1" s="1"/>
  <c r="M449" i="1"/>
  <c r="N449" i="1" s="1"/>
  <c r="M448" i="1"/>
  <c r="N448" i="1" s="1"/>
  <c r="N446" i="1"/>
  <c r="M444" i="1"/>
  <c r="N444" i="1" s="1"/>
  <c r="M443" i="1"/>
  <c r="N443" i="1" s="1"/>
  <c r="M442" i="1"/>
  <c r="N442" i="1" s="1"/>
  <c r="N441" i="1"/>
  <c r="N438" i="1"/>
  <c r="N437" i="1"/>
  <c r="M437" i="1"/>
  <c r="M436" i="1"/>
  <c r="N436" i="1" s="1"/>
  <c r="M435" i="1"/>
  <c r="N435" i="1" s="1"/>
  <c r="S434" i="1"/>
  <c r="N434" i="1"/>
  <c r="M434" i="1"/>
  <c r="M433" i="1"/>
  <c r="N433" i="1" s="1"/>
  <c r="M432" i="1"/>
  <c r="N432" i="1" s="1"/>
  <c r="M431" i="1"/>
  <c r="N431" i="1" s="1"/>
  <c r="M430" i="1"/>
  <c r="N430" i="1" s="1"/>
  <c r="N429" i="1"/>
  <c r="M429" i="1"/>
  <c r="N428" i="1"/>
  <c r="M428" i="1"/>
  <c r="M427" i="1"/>
  <c r="N427" i="1" s="1"/>
  <c r="M426" i="1"/>
  <c r="N426" i="1" s="1"/>
  <c r="M425" i="1"/>
  <c r="M424" i="1"/>
  <c r="N424" i="1" s="1"/>
  <c r="M423" i="1"/>
  <c r="N423" i="1" s="1"/>
  <c r="M422" i="1"/>
  <c r="N422" i="1" s="1"/>
  <c r="M421" i="1"/>
  <c r="N421" i="1" s="1"/>
  <c r="M420" i="1"/>
  <c r="M419" i="1"/>
  <c r="N413" i="1"/>
  <c r="M413" i="1"/>
  <c r="M412" i="1"/>
  <c r="N412" i="1" s="1"/>
  <c r="M411" i="1"/>
  <c r="N411" i="1" s="1"/>
  <c r="M410" i="1"/>
  <c r="N410" i="1" s="1"/>
  <c r="S409" i="1"/>
  <c r="M409" i="1"/>
  <c r="N409" i="1" s="1"/>
  <c r="M401" i="1"/>
  <c r="N401" i="1" s="1"/>
  <c r="M400" i="1"/>
  <c r="N400" i="1" s="1"/>
  <c r="N399" i="1"/>
  <c r="N398" i="1"/>
  <c r="N391" i="1"/>
  <c r="M390" i="1"/>
  <c r="N388" i="1"/>
  <c r="M388" i="1"/>
  <c r="M387" i="1"/>
  <c r="N387" i="1" s="1"/>
  <c r="M384" i="1"/>
  <c r="N384" i="1" s="1"/>
  <c r="S383" i="1"/>
  <c r="M382" i="1"/>
  <c r="N382" i="1" s="1"/>
  <c r="M379" i="1"/>
  <c r="N379" i="1" s="1"/>
  <c r="N371" i="1"/>
  <c r="N370" i="1"/>
  <c r="M370" i="1"/>
  <c r="M369" i="1"/>
  <c r="N369" i="1" s="1"/>
  <c r="M368" i="1"/>
  <c r="N368" i="1" s="1"/>
  <c r="M367" i="1"/>
  <c r="N367" i="1" s="1"/>
  <c r="N366" i="1"/>
  <c r="M366" i="1"/>
  <c r="N364" i="1"/>
  <c r="N363" i="1"/>
  <c r="N362" i="1"/>
  <c r="M361" i="1"/>
  <c r="N361" i="1" s="1"/>
  <c r="N360" i="1"/>
  <c r="M359" i="1"/>
  <c r="N359" i="1" s="1"/>
  <c r="M358" i="1"/>
  <c r="N358" i="1" s="1"/>
  <c r="N357" i="1"/>
  <c r="M357" i="1"/>
  <c r="N356" i="1"/>
  <c r="M356" i="1"/>
  <c r="N355" i="1"/>
  <c r="M355" i="1"/>
  <c r="M354" i="1"/>
  <c r="N354" i="1" s="1"/>
  <c r="S353" i="1"/>
  <c r="N351" i="1"/>
  <c r="M351" i="1"/>
  <c r="M349" i="1"/>
  <c r="N349" i="1" s="1"/>
  <c r="M348" i="1"/>
  <c r="N348" i="1" s="1"/>
  <c r="N347" i="1"/>
  <c r="N345" i="1"/>
  <c r="M345" i="1"/>
  <c r="M344" i="1"/>
  <c r="N344" i="1" s="1"/>
  <c r="M343" i="1"/>
  <c r="N343" i="1" s="1"/>
  <c r="M342" i="1"/>
  <c r="N342" i="1" s="1"/>
  <c r="N341" i="1"/>
  <c r="M341" i="1"/>
  <c r="N339" i="1"/>
  <c r="M339" i="1"/>
  <c r="N338" i="1"/>
  <c r="M338" i="1"/>
  <c r="N337" i="1"/>
  <c r="N336" i="1"/>
  <c r="M335" i="1"/>
  <c r="N335" i="1" s="1"/>
  <c r="M334" i="1"/>
  <c r="N334" i="1" s="1"/>
  <c r="N333" i="1"/>
  <c r="M333" i="1"/>
  <c r="N332" i="1"/>
  <c r="S331" i="1"/>
  <c r="N331" i="1"/>
  <c r="M331" i="1"/>
  <c r="M330" i="1"/>
  <c r="N330" i="1" s="1"/>
  <c r="M329" i="1"/>
  <c r="N329" i="1" s="1"/>
  <c r="M328" i="1"/>
  <c r="N328" i="1" s="1"/>
  <c r="N327" i="1"/>
  <c r="M327" i="1"/>
  <c r="M326" i="1"/>
  <c r="M325" i="1"/>
  <c r="M324" i="1"/>
  <c r="M323" i="1"/>
  <c r="N323" i="1" s="1"/>
  <c r="M322" i="1"/>
  <c r="N322" i="1" s="1"/>
  <c r="M321" i="1"/>
  <c r="M320" i="1"/>
  <c r="N320" i="1" s="1"/>
  <c r="N319" i="1"/>
  <c r="M319" i="1"/>
  <c r="N318" i="1"/>
  <c r="M318" i="1"/>
  <c r="N317" i="1"/>
  <c r="M317" i="1"/>
  <c r="M316" i="1"/>
  <c r="N316" i="1" s="1"/>
  <c r="M315" i="1"/>
  <c r="N315" i="1" s="1"/>
  <c r="M314" i="1"/>
  <c r="N314" i="1" s="1"/>
  <c r="N313" i="1"/>
  <c r="N312" i="1"/>
  <c r="N311" i="1"/>
  <c r="N310" i="1"/>
  <c r="S309" i="1"/>
  <c r="N309" i="1"/>
  <c r="M308" i="1"/>
  <c r="N308" i="1" s="1"/>
  <c r="N307" i="1"/>
  <c r="N306" i="1"/>
  <c r="M305" i="1"/>
  <c r="N305" i="1" s="1"/>
  <c r="N304" i="1"/>
  <c r="M304" i="1"/>
  <c r="N303" i="1"/>
  <c r="M302" i="1"/>
  <c r="N302" i="1" s="1"/>
  <c r="N301" i="1"/>
  <c r="N300" i="1"/>
  <c r="M299" i="1"/>
  <c r="M298" i="1"/>
  <c r="N298" i="1" s="1"/>
  <c r="M297" i="1"/>
  <c r="N297" i="1" s="1"/>
  <c r="N296" i="1"/>
  <c r="M296" i="1"/>
  <c r="N295" i="1"/>
  <c r="M292" i="1"/>
  <c r="N292" i="1" s="1"/>
  <c r="M291" i="1"/>
  <c r="N291" i="1" s="1"/>
  <c r="S290" i="1"/>
  <c r="M290" i="1"/>
  <c r="N290" i="1" s="1"/>
  <c r="M289" i="1"/>
  <c r="N289" i="1" s="1"/>
  <c r="N288" i="1"/>
  <c r="M288" i="1"/>
  <c r="N276" i="1"/>
  <c r="M276" i="1"/>
  <c r="N275" i="1"/>
  <c r="M275" i="1"/>
  <c r="M274" i="1"/>
  <c r="N274" i="1" s="1"/>
  <c r="M272" i="1"/>
  <c r="N272" i="1" s="1"/>
  <c r="S271" i="1"/>
  <c r="M271" i="1"/>
  <c r="M270" i="1"/>
  <c r="M268" i="1"/>
  <c r="N268" i="1" s="1"/>
  <c r="M267" i="1"/>
  <c r="N267" i="1" s="1"/>
  <c r="N266" i="1"/>
  <c r="M265" i="1"/>
  <c r="N265" i="1" s="1"/>
  <c r="M263" i="1"/>
  <c r="N263" i="1" s="1"/>
  <c r="M262" i="1"/>
  <c r="N262" i="1" s="1"/>
  <c r="N261" i="1"/>
  <c r="M261" i="1"/>
  <c r="N260" i="1"/>
  <c r="M259" i="1"/>
  <c r="N259" i="1" s="1"/>
  <c r="N258" i="1"/>
  <c r="M257" i="1"/>
  <c r="N257" i="1" s="1"/>
  <c r="M256" i="1"/>
  <c r="N256" i="1" s="1"/>
  <c r="M255" i="1"/>
  <c r="N255" i="1" s="1"/>
  <c r="N254" i="1"/>
  <c r="M254" i="1"/>
  <c r="N253" i="1"/>
  <c r="M253" i="1"/>
  <c r="N252" i="1"/>
  <c r="M252" i="1"/>
  <c r="M251" i="1"/>
  <c r="N251" i="1" s="1"/>
  <c r="M250" i="1"/>
  <c r="N250" i="1" s="1"/>
  <c r="M249" i="1"/>
  <c r="N249" i="1" s="1"/>
  <c r="N248" i="1"/>
  <c r="M248" i="1"/>
  <c r="N247" i="1"/>
  <c r="M247" i="1"/>
  <c r="N246" i="1"/>
  <c r="M246" i="1"/>
  <c r="M245" i="1"/>
  <c r="N245" i="1" s="1"/>
  <c r="M244" i="1"/>
  <c r="N244" i="1" s="1"/>
  <c r="M243" i="1"/>
  <c r="N243" i="1" s="1"/>
  <c r="N242" i="1"/>
  <c r="M242" i="1"/>
  <c r="N241" i="1"/>
  <c r="M241" i="1"/>
  <c r="N240" i="1"/>
  <c r="M240" i="1"/>
  <c r="M239" i="1"/>
  <c r="S238" i="1"/>
  <c r="M238" i="1"/>
  <c r="N238" i="1" s="1"/>
  <c r="M236" i="1"/>
  <c r="N236" i="1" s="1"/>
  <c r="N235" i="1"/>
  <c r="M235" i="1"/>
  <c r="N234" i="1"/>
  <c r="M234" i="1"/>
  <c r="N233" i="1"/>
  <c r="N232" i="1"/>
  <c r="M231" i="1"/>
  <c r="N231" i="1" s="1"/>
  <c r="M230" i="1"/>
  <c r="N230" i="1" s="1"/>
  <c r="M229" i="1"/>
  <c r="N229" i="1" s="1"/>
  <c r="N228" i="1"/>
  <c r="M228" i="1"/>
  <c r="N227" i="1"/>
  <c r="M227" i="1"/>
  <c r="N226" i="1"/>
  <c r="M226" i="1"/>
  <c r="M225" i="1"/>
  <c r="N225" i="1" s="1"/>
  <c r="M224" i="1"/>
  <c r="N224" i="1" s="1"/>
  <c r="M223" i="1"/>
  <c r="N223" i="1" s="1"/>
  <c r="N222" i="1"/>
  <c r="M222" i="1"/>
  <c r="N221" i="1"/>
  <c r="M221" i="1"/>
  <c r="N220" i="1"/>
  <c r="M220" i="1"/>
  <c r="M219" i="1"/>
  <c r="N219" i="1" s="1"/>
  <c r="M218" i="1"/>
  <c r="N218" i="1" s="1"/>
  <c r="M217" i="1"/>
  <c r="N217" i="1" s="1"/>
  <c r="N216" i="1"/>
  <c r="N215" i="1"/>
  <c r="N214" i="1"/>
  <c r="M213" i="1"/>
  <c r="N213" i="1" s="1"/>
  <c r="S212" i="1"/>
  <c r="N212" i="1"/>
  <c r="M211" i="1"/>
  <c r="N211" i="1" s="1"/>
  <c r="N210" i="1"/>
  <c r="M210" i="1"/>
  <c r="M209" i="1"/>
  <c r="N209" i="1" s="1"/>
  <c r="M208" i="1"/>
  <c r="N208" i="1" s="1"/>
  <c r="M207" i="1"/>
  <c r="N207" i="1" s="1"/>
  <c r="N206" i="1"/>
  <c r="M205" i="1"/>
  <c r="N205" i="1" s="1"/>
  <c r="M204" i="1"/>
  <c r="N204" i="1" s="1"/>
  <c r="M203" i="1"/>
  <c r="N203" i="1" s="1"/>
  <c r="N202" i="1"/>
  <c r="M202" i="1"/>
  <c r="N201" i="1"/>
  <c r="M201" i="1"/>
  <c r="N200" i="1"/>
  <c r="M200" i="1"/>
  <c r="M199" i="1"/>
  <c r="N199" i="1" s="1"/>
  <c r="M198" i="1"/>
  <c r="N198" i="1" s="1"/>
  <c r="M197" i="1"/>
  <c r="N197" i="1" s="1"/>
  <c r="N196" i="1"/>
  <c r="M196" i="1"/>
  <c r="N195" i="1"/>
  <c r="M195" i="1"/>
  <c r="N194" i="1"/>
  <c r="M194" i="1"/>
  <c r="M193" i="1"/>
  <c r="M192" i="1"/>
  <c r="N192" i="1" s="1"/>
  <c r="N191" i="1"/>
  <c r="M191" i="1"/>
  <c r="S190" i="1"/>
  <c r="N190" i="1"/>
  <c r="M190" i="1"/>
  <c r="N189" i="1"/>
  <c r="M189" i="1"/>
  <c r="N188" i="1"/>
  <c r="M188" i="1"/>
  <c r="M187" i="1"/>
  <c r="N187" i="1" s="1"/>
  <c r="M186" i="1"/>
  <c r="N186" i="1" s="1"/>
  <c r="M185" i="1"/>
  <c r="N185" i="1" s="1"/>
  <c r="N184" i="1"/>
  <c r="M184" i="1"/>
  <c r="N183" i="1"/>
  <c r="M183" i="1"/>
  <c r="N182" i="1"/>
  <c r="M182" i="1"/>
  <c r="M181" i="1"/>
  <c r="N181" i="1" s="1"/>
  <c r="N180" i="1"/>
  <c r="N179" i="1"/>
  <c r="M179" i="1"/>
  <c r="M178" i="1"/>
  <c r="N178" i="1" s="1"/>
  <c r="M177" i="1"/>
  <c r="N177" i="1" s="1"/>
  <c r="M175" i="1"/>
  <c r="N175" i="1" s="1"/>
  <c r="M174" i="1"/>
  <c r="M173" i="1"/>
  <c r="N173" i="1" s="1"/>
  <c r="M172" i="1"/>
  <c r="N172" i="1" s="1"/>
  <c r="M170" i="1"/>
  <c r="N170" i="1" s="1"/>
  <c r="N168" i="1"/>
  <c r="M168" i="1"/>
  <c r="N167" i="1"/>
  <c r="M167" i="1"/>
  <c r="N166" i="1"/>
  <c r="M166" i="1"/>
  <c r="M165" i="1"/>
  <c r="N165" i="1" s="1"/>
  <c r="S164" i="1"/>
  <c r="N164" i="1"/>
  <c r="M162" i="1"/>
  <c r="N162" i="1" s="1"/>
  <c r="N161" i="1"/>
  <c r="M161" i="1"/>
  <c r="N160" i="1"/>
  <c r="M160" i="1"/>
  <c r="N159" i="1"/>
  <c r="M159" i="1"/>
  <c r="M158" i="1"/>
  <c r="N158" i="1" s="1"/>
  <c r="M157" i="1"/>
  <c r="N157" i="1" s="1"/>
  <c r="M156" i="1"/>
  <c r="N156" i="1" s="1"/>
  <c r="N155" i="1"/>
  <c r="M155" i="1"/>
  <c r="N154" i="1"/>
  <c r="M154" i="1"/>
  <c r="N153" i="1"/>
  <c r="M153" i="1"/>
  <c r="M152" i="1"/>
  <c r="N152" i="1" s="1"/>
  <c r="M151" i="1"/>
  <c r="N151" i="1" s="1"/>
  <c r="M150" i="1"/>
  <c r="N150" i="1" s="1"/>
  <c r="N149" i="1"/>
  <c r="M149" i="1"/>
  <c r="N148" i="1"/>
  <c r="M148" i="1"/>
  <c r="N147" i="1"/>
  <c r="M147" i="1"/>
  <c r="M146" i="1"/>
  <c r="N146" i="1" s="1"/>
  <c r="M143" i="1"/>
  <c r="N143" i="1" s="1"/>
  <c r="M142" i="1"/>
  <c r="N142" i="1" s="1"/>
  <c r="N141" i="1"/>
  <c r="M141" i="1"/>
  <c r="N140" i="1"/>
  <c r="M140" i="1"/>
  <c r="N139" i="1"/>
  <c r="M139" i="1"/>
  <c r="M138" i="1"/>
  <c r="N138" i="1" s="1"/>
  <c r="M137" i="1"/>
  <c r="N137" i="1" s="1"/>
  <c r="M136" i="1"/>
  <c r="N136" i="1" s="1"/>
  <c r="N135" i="1"/>
  <c r="M135" i="1"/>
  <c r="N134" i="1"/>
  <c r="M134" i="1"/>
  <c r="N133" i="1"/>
  <c r="M133" i="1"/>
  <c r="M132" i="1"/>
  <c r="N132" i="1" s="1"/>
  <c r="M131" i="1"/>
  <c r="N131" i="1" s="1"/>
  <c r="M130" i="1"/>
  <c r="N130" i="1" s="1"/>
  <c r="M129" i="1"/>
  <c r="N129" i="1" s="1"/>
  <c r="M125" i="1"/>
  <c r="N125" i="1" s="1"/>
  <c r="M124" i="1"/>
  <c r="N124" i="1" s="1"/>
  <c r="M123" i="1"/>
  <c r="N123" i="1" s="1"/>
  <c r="N122" i="1"/>
  <c r="M122" i="1"/>
  <c r="M121" i="1"/>
  <c r="N121" i="1" s="1"/>
  <c r="M120" i="1"/>
  <c r="N120" i="1" s="1"/>
  <c r="M119" i="1"/>
  <c r="N119" i="1" s="1"/>
  <c r="M118" i="1"/>
  <c r="N118" i="1" s="1"/>
  <c r="M117" i="1"/>
  <c r="N117" i="1" s="1"/>
  <c r="N116" i="1"/>
  <c r="M116" i="1"/>
  <c r="M115" i="1"/>
  <c r="N115" i="1" s="1"/>
  <c r="M114" i="1"/>
  <c r="N114" i="1" s="1"/>
  <c r="M113" i="1"/>
  <c r="N113" i="1" s="1"/>
  <c r="M112" i="1"/>
  <c r="N112" i="1" s="1"/>
  <c r="M111" i="1"/>
  <c r="N111" i="1" s="1"/>
  <c r="N110" i="1"/>
  <c r="M110" i="1"/>
  <c r="M109" i="1"/>
  <c r="N109" i="1" s="1"/>
  <c r="M108" i="1"/>
  <c r="M106" i="1"/>
  <c r="M105" i="1"/>
  <c r="M104" i="1"/>
  <c r="M103" i="1"/>
  <c r="M99" i="1"/>
  <c r="N99" i="1" s="1"/>
  <c r="M98" i="1"/>
  <c r="N97" i="1"/>
  <c r="M97" i="1"/>
  <c r="M91" i="1"/>
  <c r="N91" i="1" s="1"/>
  <c r="M87" i="1"/>
  <c r="M86" i="1"/>
  <c r="N86" i="1" s="1"/>
  <c r="M82" i="1"/>
  <c r="N82" i="1" s="1"/>
  <c r="M80" i="1"/>
  <c r="M79" i="1"/>
  <c r="M78" i="1"/>
  <c r="M77" i="1"/>
  <c r="M76" i="1"/>
  <c r="M75" i="1"/>
  <c r="M67" i="1"/>
  <c r="N66" i="1"/>
  <c r="M66" i="1"/>
  <c r="N65" i="1"/>
  <c r="M65" i="1"/>
  <c r="M59" i="1"/>
  <c r="M55" i="1"/>
  <c r="N55" i="1" s="1"/>
  <c r="N47" i="1"/>
  <c r="M47" i="1"/>
  <c r="M46" i="1"/>
  <c r="N46" i="1" s="1"/>
  <c r="M45" i="1"/>
  <c r="N45" i="1" s="1"/>
  <c r="M44" i="1"/>
  <c r="N44" i="1" s="1"/>
  <c r="M43" i="1"/>
  <c r="N43" i="1" s="1"/>
  <c r="M42" i="1"/>
  <c r="N42" i="1" s="1"/>
  <c r="M41" i="1"/>
  <c r="M40" i="1"/>
  <c r="N40" i="1" s="1"/>
  <c r="M38" i="1"/>
  <c r="N38" i="1" s="1"/>
  <c r="N35" i="1"/>
  <c r="M35" i="1"/>
  <c r="N34" i="1"/>
  <c r="M34" i="1"/>
  <c r="M33" i="1"/>
  <c r="N33" i="1" s="1"/>
  <c r="M32" i="1"/>
  <c r="N32" i="1" s="1"/>
  <c r="M31" i="1"/>
  <c r="N31" i="1" s="1"/>
  <c r="M28" i="1"/>
  <c r="N28" i="1" s="1"/>
  <c r="N21" i="1"/>
  <c r="M21" i="1"/>
  <c r="M4" i="1"/>
  <c r="T523" i="1" l="1"/>
</calcChain>
</file>

<file path=xl/sharedStrings.xml><?xml version="1.0" encoding="utf-8"?>
<sst xmlns="http://schemas.openxmlformats.org/spreadsheetml/2006/main" count="5893" uniqueCount="1504">
  <si>
    <t>Bottom of sheet</t>
  </si>
  <si>
    <t>Concept No:</t>
  </si>
  <si>
    <t>Sector</t>
  </si>
  <si>
    <t>Requested Date</t>
  </si>
  <si>
    <t>Customer - Site location</t>
  </si>
  <si>
    <t>Country</t>
  </si>
  <si>
    <t>TEG Sales Order Number</t>
  </si>
  <si>
    <t>Contact (customer Name)</t>
  </si>
  <si>
    <t>Contact (TEG Sales)</t>
  </si>
  <si>
    <t>Description (Equipment Type, Make/Model, Approx no of line items, Total items)</t>
  </si>
  <si>
    <t>Parts Washer details added to Document 326 (Yes/No)</t>
  </si>
  <si>
    <t>Engineer</t>
  </si>
  <si>
    <t>Planned Completion Date (Design)</t>
  </si>
  <si>
    <t>Actual Completion Date (Design)</t>
  </si>
  <si>
    <t>Latest Revison</t>
  </si>
  <si>
    <t>Status</t>
  </si>
  <si>
    <t>Link to Concept Folder</t>
  </si>
  <si>
    <t>Design Time (Hours)</t>
  </si>
  <si>
    <t>001</t>
  </si>
  <si>
    <t>Bio Pharma</t>
  </si>
  <si>
    <t>BioMarin - Cork</t>
  </si>
  <si>
    <t>Ireland</t>
  </si>
  <si>
    <t>N/A</t>
  </si>
  <si>
    <t>Anthony Carey</t>
  </si>
  <si>
    <t>Washer</t>
  </si>
  <si>
    <t>No</t>
  </si>
  <si>
    <t>Micheal McGlynn</t>
  </si>
  <si>
    <t>A</t>
  </si>
  <si>
    <t>Quote sent</t>
  </si>
  <si>
    <t>Aviation</t>
  </si>
  <si>
    <t>Aisling Gorey</t>
  </si>
  <si>
    <t>In Design</t>
  </si>
  <si>
    <t>002</t>
  </si>
  <si>
    <t>MSD</t>
  </si>
  <si>
    <t>Germany</t>
  </si>
  <si>
    <t>Precision</t>
  </si>
  <si>
    <t>John Hunt</t>
  </si>
  <si>
    <t xml:space="preserve">Bobby Barry </t>
  </si>
  <si>
    <t>Await customer</t>
  </si>
  <si>
    <t>B</t>
  </si>
  <si>
    <t>003</t>
  </si>
  <si>
    <t>Alkermes - OHIO</t>
  </si>
  <si>
    <t>US</t>
  </si>
  <si>
    <t>Robert Taylor</t>
  </si>
  <si>
    <t xml:space="preserve">Christopher Gilsenan </t>
  </si>
  <si>
    <t>Quote required</t>
  </si>
  <si>
    <t>C</t>
  </si>
  <si>
    <t>004</t>
  </si>
  <si>
    <t>Janssen - Cork</t>
  </si>
  <si>
    <t>Pharma</t>
  </si>
  <si>
    <t>Tommy Kelly</t>
  </si>
  <si>
    <t xml:space="preserve">Clement Traynor </t>
  </si>
  <si>
    <t>D</t>
  </si>
  <si>
    <t>005</t>
  </si>
  <si>
    <t>MSD - x</t>
  </si>
  <si>
    <t>Netherlands</t>
  </si>
  <si>
    <t>Robert Murtagh</t>
  </si>
  <si>
    <t xml:space="preserve">Dylan Hunt </t>
  </si>
  <si>
    <t>Concept sent</t>
  </si>
  <si>
    <t>E</t>
  </si>
  <si>
    <t>006</t>
  </si>
  <si>
    <t>Haleon - x</t>
  </si>
  <si>
    <t>Switzerland</t>
  </si>
  <si>
    <t>Karen Ryan</t>
  </si>
  <si>
    <t xml:space="preserve">Frank Digan </t>
  </si>
  <si>
    <t>PO due in</t>
  </si>
  <si>
    <t>007</t>
  </si>
  <si>
    <t>Curie - x</t>
  </si>
  <si>
    <t>Mike Alexander</t>
  </si>
  <si>
    <t>Kate Igoe</t>
  </si>
  <si>
    <t>008</t>
  </si>
  <si>
    <t>Octapharma - x</t>
  </si>
  <si>
    <t>Julien Brochard</t>
  </si>
  <si>
    <t xml:space="preserve">Kevin Hennessy </t>
  </si>
  <si>
    <t>009</t>
  </si>
  <si>
    <t xml:space="preserve">Larry Connell </t>
  </si>
  <si>
    <t>010</t>
  </si>
  <si>
    <t xml:space="preserve">NN - x </t>
  </si>
  <si>
    <t>Needle Holder Supports</t>
  </si>
  <si>
    <t>Martin Looram</t>
  </si>
  <si>
    <t>011</t>
  </si>
  <si>
    <t>NN - x</t>
  </si>
  <si>
    <t>Centrifuge parts</t>
  </si>
  <si>
    <t>Michael Williams</t>
  </si>
  <si>
    <t>012</t>
  </si>
  <si>
    <t>Eli Lilly - x</t>
  </si>
  <si>
    <t>France</t>
  </si>
  <si>
    <t>013</t>
  </si>
  <si>
    <t>Genyzme - Framingham</t>
  </si>
  <si>
    <t>Mick Cunningham</t>
  </si>
  <si>
    <t>014</t>
  </si>
  <si>
    <t>Lorry Crawford</t>
  </si>
  <si>
    <t>Niall Connell</t>
  </si>
  <si>
    <t>015</t>
  </si>
  <si>
    <t>Gilead - x</t>
  </si>
  <si>
    <t>Oisin Fitzgerald</t>
  </si>
  <si>
    <t>016</t>
  </si>
  <si>
    <t>Thermofisher - x</t>
  </si>
  <si>
    <t>IMA Load</t>
  </si>
  <si>
    <t>Petar Mitic</t>
  </si>
  <si>
    <t>017</t>
  </si>
  <si>
    <t>Virbac - x</t>
  </si>
  <si>
    <t>018</t>
  </si>
  <si>
    <t>Regeneron - Limerick</t>
  </si>
  <si>
    <t>Coverage Analysis - Hepa Filter</t>
  </si>
  <si>
    <t>F:\Regeneron - Limerick\concepts\011 - Coverage Analysis - Hepa Filter</t>
  </si>
  <si>
    <t>019</t>
  </si>
  <si>
    <t>Alexion - Blanchardstown</t>
  </si>
  <si>
    <t xml:space="preserve">Roland Klos </t>
  </si>
  <si>
    <t>020</t>
  </si>
  <si>
    <t>Brazil</t>
  </si>
  <si>
    <t xml:space="preserve">Rugile Sosickyte </t>
  </si>
  <si>
    <t>021</t>
  </si>
  <si>
    <t>Canisters</t>
  </si>
  <si>
    <t>Saoirse Lynch</t>
  </si>
  <si>
    <t>022</t>
  </si>
  <si>
    <t>BMS - Dublin</t>
  </si>
  <si>
    <t xml:space="preserve">Sean Egan </t>
  </si>
  <si>
    <t>023</t>
  </si>
  <si>
    <t>Amgen - Dun Laoghaire</t>
  </si>
  <si>
    <t>Darragh Maguire</t>
  </si>
  <si>
    <t>Steris 680 - large rack Project</t>
  </si>
  <si>
    <t>F:\Amgen\Concept\AA - Washer racks\001 - Sep 2024\Layout\Amgen - CO2018 Washer racks concept - RevB.pdf</t>
  </si>
  <si>
    <t>Yijun Feng</t>
  </si>
  <si>
    <t>024</t>
  </si>
  <si>
    <t>American Regent - x</t>
  </si>
  <si>
    <t>Storage Trollies</t>
  </si>
  <si>
    <t>025</t>
  </si>
  <si>
    <t>Amgen - North Carolina</t>
  </si>
  <si>
    <t>Probe Covers - same design as Rhode Island</t>
  </si>
  <si>
    <t>F:\Amgen - North Carolina\Concept\001 - Probe Covers - same design as Rhode Island</t>
  </si>
  <si>
    <t>026</t>
  </si>
  <si>
    <t>GSK - x</t>
  </si>
  <si>
    <t>Belimed Ph880 - Castor Wheels - Transport Trolley</t>
  </si>
  <si>
    <t>027</t>
  </si>
  <si>
    <t>Fuji - x</t>
  </si>
  <si>
    <t>Trollies</t>
  </si>
  <si>
    <t>028</t>
  </si>
  <si>
    <t>Farmea - Angers</t>
  </si>
  <si>
    <t>Hamo 420 Washer</t>
  </si>
  <si>
    <t>F:\Farmea - Angers - France\Concepts\001 - Washer Rack - Hamo 420 - Oct 2024</t>
  </si>
  <si>
    <t>029</t>
  </si>
  <si>
    <t>Farmea - Pau</t>
  </si>
  <si>
    <t xml:space="preserve">Getinge - GEW 787-2 </t>
  </si>
  <si>
    <t>F:\Farmea - Pau - France\Concepts\001 - Washer Rack - Getinge GEW 787-2 - Nov 2024</t>
  </si>
  <si>
    <t>030</t>
  </si>
  <si>
    <t>Almac - Dublin</t>
  </si>
  <si>
    <t>Freezer Storage</t>
  </si>
  <si>
    <t>F:\Almac - Dublin\Concepts\001 - Freezer Storage - Nov 2024</t>
  </si>
  <si>
    <t>031</t>
  </si>
  <si>
    <t>IPS - x</t>
  </si>
  <si>
    <t>Dushy Gnanapragasam</t>
  </si>
  <si>
    <t>Belimed Ph820 - Pippettes</t>
  </si>
  <si>
    <t>F:\IPS - US\Concept\001 - Pippette - belimed 820 - Dec 2024</t>
  </si>
  <si>
    <t>032</t>
  </si>
  <si>
    <t>Ursapharm</t>
  </si>
  <si>
    <t xml:space="preserve">Pierrick Breitenbach </t>
  </si>
  <si>
    <t>Muller 800 - Additonal rack &amp; Trolley Required</t>
  </si>
  <si>
    <t>033</t>
  </si>
  <si>
    <t>Norbrook</t>
  </si>
  <si>
    <t>Martin Mallon</t>
  </si>
  <si>
    <t xml:space="preserve">Existing 500ml Squat Format Parts - Infeed/Outfeed Starwheels - Guides etc </t>
  </si>
  <si>
    <t>\\tegfs\cad$\Norbrook\Concept\004 - 500ml Squat Line\E - Existing Format Parts\500ml Squat Format Parts</t>
  </si>
  <si>
    <t>034</t>
  </si>
  <si>
    <t xml:space="preserve">Existing 500ml Tall Format Parts - Infeed/Outfeed Starwheels - Guides etc </t>
  </si>
  <si>
    <t>F:\Norbrook\Concept\004 - 500ml Squat Line\E - Existing Format Parts</t>
  </si>
  <si>
    <t>035</t>
  </si>
  <si>
    <t>Moderna - Norwood</t>
  </si>
  <si>
    <t>Angel Rosado</t>
  </si>
  <si>
    <t>F:\Moderna - Norwood\Concept\002 - Storage trolleys - Dec 2024</t>
  </si>
  <si>
    <t>036</t>
  </si>
  <si>
    <t>Thermofisher  - Greenville</t>
  </si>
  <si>
    <t>Getinge 131313 Washer - Canisters &amp; vessels</t>
  </si>
  <si>
    <t>F:\Thermo Fisher - Greenville - NC\concept\013 - Thermofisher - Cannister Rack Request - Dec 2024</t>
  </si>
  <si>
    <t>037</t>
  </si>
  <si>
    <t>Eli Lilly - Fegersheim</t>
  </si>
  <si>
    <t xml:space="preserve">Ghassen DRINE </t>
  </si>
  <si>
    <t>Steelco Washer - MR x 4 - Threaded/clipped conection sent</t>
  </si>
  <si>
    <t>F:\Eli Lilly - France\Concept\001 - Steelco Washer - Jan 2025</t>
  </si>
  <si>
    <t>038</t>
  </si>
  <si>
    <t>Abbvie - x</t>
  </si>
  <si>
    <t>Steris 380 - rework 18 port racks &amp; new Hose/tubing Sub rack</t>
  </si>
  <si>
    <t>039</t>
  </si>
  <si>
    <t>GSK - Belgium</t>
  </si>
  <si>
    <t>Singapore</t>
  </si>
  <si>
    <t>Belimed Ph860 rack - URGENT</t>
  </si>
  <si>
    <t>F:\GSK - Singapore\Concepts\001 - Belimed 860 - Jan 2025</t>
  </si>
  <si>
    <t>040</t>
  </si>
  <si>
    <t>Eli Lilly - Wisconsin</t>
  </si>
  <si>
    <t>Fedegari Washer - MR x 4 plus 19 ACC - presentation sent 22-01-2025</t>
  </si>
  <si>
    <t>041</t>
  </si>
  <si>
    <t>Ipsen - x</t>
  </si>
  <si>
    <t>IWT Washer - revisted old project - meeting 21-jan-2025</t>
  </si>
  <si>
    <t>F:\Ipsen - Signes - France\Concepts\002  - IWT Washer  - Jan 2025</t>
  </si>
  <si>
    <t>042</t>
  </si>
  <si>
    <t>Getinge 131313 Washer - Bottles &amp; Funnels</t>
  </si>
  <si>
    <t>043</t>
  </si>
  <si>
    <t>TBC - await parts list</t>
  </si>
  <si>
    <t>044</t>
  </si>
  <si>
    <t>Thermofisher  - x</t>
  </si>
  <si>
    <t>UK</t>
  </si>
  <si>
    <t>Muller - 800 - issue with Latches</t>
  </si>
  <si>
    <t>045</t>
  </si>
  <si>
    <t>Conor Craig</t>
  </si>
  <si>
    <t>EBEAM HVPS Storage Boxes</t>
  </si>
  <si>
    <t>046</t>
  </si>
  <si>
    <t>Transport Trolley for PM3 Filler Assemblies</t>
  </si>
  <si>
    <t>047</t>
  </si>
  <si>
    <t>Jack King</t>
  </si>
  <si>
    <t>Metal Supports</t>
  </si>
  <si>
    <t>048</t>
  </si>
  <si>
    <t>Chanelle</t>
  </si>
  <si>
    <t>Michael Dempsey</t>
  </si>
  <si>
    <t>Quote 233499 - Valmatic Reinforcement Strap Support</t>
  </si>
  <si>
    <t>F:\Chanelle\Diosna Site visit - 30-Jan-2025\Valmatic Machine Top Support Strap Project\Valmatic Strap - Draft.pdf</t>
  </si>
  <si>
    <t>049</t>
  </si>
  <si>
    <t>Sean Heffernan</t>
  </si>
  <si>
    <t>Quote 233488 - Mixer Frame Leg Extensions </t>
  </si>
  <si>
    <t>F:\Chanelle\Diosna Site visit - 30-Jan-2025\Mixer Frame Leg Extensions\Extension leg - ASM Rev A DRAFT.pdf</t>
  </si>
  <si>
    <t>050</t>
  </si>
  <si>
    <t>Pfizer GC</t>
  </si>
  <si>
    <t>James Dillon</t>
  </si>
  <si>
    <t>Challenge Set Syringe Insert + Silicone Cover</t>
  </si>
  <si>
    <t>051</t>
  </si>
  <si>
    <t>Amgen DL</t>
  </si>
  <si>
    <t>Ian Prendergast</t>
  </si>
  <si>
    <t>DASI Standards Kit Assembly</t>
  </si>
  <si>
    <t>052</t>
  </si>
  <si>
    <t>Lonza - Portsmouth - NH</t>
  </si>
  <si>
    <t>Dominic Gigante</t>
  </si>
  <si>
    <t>Washer Racks &amp; Autoclave Racks</t>
  </si>
  <si>
    <t>053</t>
  </si>
  <si>
    <t>Myles Canavan</t>
  </si>
  <si>
    <t>7 Bearing Conveyor Housing</t>
  </si>
  <si>
    <t>054</t>
  </si>
  <si>
    <t>Nicolas Yiakouma</t>
  </si>
  <si>
    <t>RTP Transport Trolley Latch Support</t>
  </si>
  <si>
    <t>055</t>
  </si>
  <si>
    <t>Louise Norton</t>
  </si>
  <si>
    <t>Particle Counter Shaft - 3 Types</t>
  </si>
  <si>
    <t>056</t>
  </si>
  <si>
    <t>Stopper Bowl Orientation &amp; Fit</t>
  </si>
  <si>
    <t>14/02/2025</t>
  </si>
  <si>
    <t>F:\Moderna - Norwood\Concept\003 - Stopper Bowls - Orientation and Fit</t>
  </si>
  <si>
    <t>057</t>
  </si>
  <si>
    <t>Alexion</t>
  </si>
  <si>
    <t>Conor Slevin</t>
  </si>
  <si>
    <t>Updated Scroll Support</t>
  </si>
  <si>
    <t>F:\Alexion\Concepts\Conor Slevin\Scroll Support - Jan 2025</t>
  </si>
  <si>
    <t>058</t>
  </si>
  <si>
    <t>TBC</t>
  </si>
  <si>
    <t>Format Part</t>
  </si>
  <si>
    <t>F:\Alexion\Concepts\Conor Slevin\Format Part - Jan 2024</t>
  </si>
  <si>
    <t>059</t>
  </si>
  <si>
    <t>Karl O'Sullivan</t>
  </si>
  <si>
    <t>IVFL Autoclave Tray</t>
  </si>
  <si>
    <t>F:\Amgen\Concept\Karl O'Sullivan\IVFL Stopper Bowl Autoclave Tray</t>
  </si>
  <si>
    <t>060</t>
  </si>
  <si>
    <t>Tom Dunbar</t>
  </si>
  <si>
    <t>Syringe Barrel Defect Developmental Work</t>
  </si>
  <si>
    <t>061</t>
  </si>
  <si>
    <t>51979-003</t>
  </si>
  <si>
    <t>Byran Ritchie</t>
  </si>
  <si>
    <t>Large Hopper With Perforation Chute</t>
  </si>
  <si>
    <t>F:\Norbrook\Site Visit - 21-01-2025 Suit 3</t>
  </si>
  <si>
    <t>062</t>
  </si>
  <si>
    <t>Joseph Sagginario</t>
  </si>
  <si>
    <t>7 Additional Shelves Required</t>
  </si>
  <si>
    <t>063</t>
  </si>
  <si>
    <t>DCU project</t>
  </si>
  <si>
    <t>Matthew Glennon</t>
  </si>
  <si>
    <t>Student project - parts to be made</t>
  </si>
  <si>
    <t>064</t>
  </si>
  <si>
    <t>Sanofi Waterford</t>
  </si>
  <si>
    <t>David O'Donovan</t>
  </si>
  <si>
    <t>PVDF - chemical reaction turning parts brown</t>
  </si>
  <si>
    <t>065</t>
  </si>
  <si>
    <t>Amgen / EES</t>
  </si>
  <si>
    <t>Email - Amgen R-clips</t>
  </si>
  <si>
    <t>066</t>
  </si>
  <si>
    <t>Almac N623 Magazine Collection &amp; Printer Magazine Feeder &amp; Collection</t>
  </si>
  <si>
    <t>067</t>
  </si>
  <si>
    <t>MSD Swords</t>
  </si>
  <si>
    <t>Sophia Ung</t>
  </si>
  <si>
    <t>Enquiry about a larger filter housing being washed on SR 10. Possibly new acc required</t>
  </si>
  <si>
    <t>F:\MSD Swords\concepts\009 - Additional Filter Housing for Sub Rack 10 TE46211\Presentation\MSD Swords - Spray Ball Accessory - rev A.pptx</t>
  </si>
  <si>
    <t>068</t>
  </si>
  <si>
    <t>B&amp;L - Waterford</t>
  </si>
  <si>
    <t>Alicia Raj</t>
  </si>
  <si>
    <t>Blister Destacker</t>
  </si>
  <si>
    <t>069</t>
  </si>
  <si>
    <t>Merck Durham</t>
  </si>
  <si>
    <t>Bryan Stotes-Cawley</t>
  </si>
  <si>
    <t>RE: Merck Durham Project Flash Wash Rack Request</t>
  </si>
  <si>
    <t>070</t>
  </si>
  <si>
    <t xml:space="preserve">Disk Springs to be replaced by air bed in Pipette Tooling (Preforming &amp; Forming) - Valmatic Filling Machine </t>
  </si>
  <si>
    <t>27/02/2025</t>
  </si>
  <si>
    <t>F:\Chanelle\49205 - Valmatic Pre Forming Mounting Blocks LHS &amp; RHS -Upgraded Design</t>
  </si>
  <si>
    <t>071</t>
  </si>
  <si>
    <t>Part analysis - Dimensions/Mass/surface area</t>
  </si>
  <si>
    <t>F:\Amgen\Concept\AA - Washer racks\001 - Sep 2024\Parts list\Amgen Ireland - C02018 Parts Washer - TEG Part List_RevB.xlsx</t>
  </si>
  <si>
    <t>072</t>
  </si>
  <si>
    <t>NN - Brazil</t>
  </si>
  <si>
    <t>Marcio Dell Orto Magno</t>
  </si>
  <si>
    <t>Part Changes to be compared with parts used to design racks</t>
  </si>
  <si>
    <t>073</t>
  </si>
  <si>
    <t>Astellas - Tralee</t>
  </si>
  <si>
    <t>Rachael Brennan</t>
  </si>
  <si>
    <t>Steris 480 - IMA filling line - parts list due after FAT - 28th Feb - actually arrived - March 18th</t>
  </si>
  <si>
    <t>074</t>
  </si>
  <si>
    <t>Convetec</t>
  </si>
  <si>
    <t>Malcolm Harrison</t>
  </si>
  <si>
    <t>Circular Perf baskets</t>
  </si>
  <si>
    <t>075</t>
  </si>
  <si>
    <t>Thermofisher - Greenville</t>
  </si>
  <si>
    <t>Spares for older projects</t>
  </si>
  <si>
    <t>076</t>
  </si>
  <si>
    <t>MSD Ballydine</t>
  </si>
  <si>
    <t>Spares for recent project</t>
  </si>
  <si>
    <t>077</t>
  </si>
  <si>
    <t>WuXi - Dundalk</t>
  </si>
  <si>
    <t>Spares for trollies</t>
  </si>
  <si>
    <t>078</t>
  </si>
  <si>
    <t>Nelson Martinez</t>
  </si>
  <si>
    <t>SR 10 - modifications - syringe parts - 46658</t>
  </si>
  <si>
    <t>21/11/24</t>
  </si>
  <si>
    <t>079</t>
  </si>
  <si>
    <t>Remedica</t>
  </si>
  <si>
    <t>Cyprus</t>
  </si>
  <si>
    <t>Blister Pack Layouts</t>
  </si>
  <si>
    <t>080</t>
  </si>
  <si>
    <t>Vianex</t>
  </si>
  <si>
    <t>Quote to be updated</t>
  </si>
  <si>
    <t>081</t>
  </si>
  <si>
    <t>pattern form to be deepened</t>
  </si>
  <si>
    <t>082</t>
  </si>
  <si>
    <t>Thermofisher Greenville</t>
  </si>
  <si>
    <t>Hunter Taylor</t>
  </si>
  <si>
    <t>Spares parts for racks from SO20320 &amp; 19909 - 2 Main Racks, 32 Sub racks, 9 double racks</t>
  </si>
  <si>
    <t>083</t>
  </si>
  <si>
    <t>Kevin O' Connor</t>
  </si>
  <si>
    <t>Dummy Vials (New + Rework)</t>
  </si>
  <si>
    <t>084</t>
  </si>
  <si>
    <t>MSD - Carlow</t>
  </si>
  <si>
    <t>Martin Malone</t>
  </si>
  <si>
    <t>Additional Needle Holder (New Rev)</t>
  </si>
  <si>
    <t>085</t>
  </si>
  <si>
    <t>Emlyn Clerkin</t>
  </si>
  <si>
    <t>Thaw Baths + Lids</t>
  </si>
  <si>
    <t>086</t>
  </si>
  <si>
    <t>Derek Grehan</t>
  </si>
  <si>
    <t>Repair of Damaged Parts (2 Parts)</t>
  </si>
  <si>
    <t>087</t>
  </si>
  <si>
    <t>Kevin Newman</t>
  </si>
  <si>
    <t>E-Polish of Parts + Spanners</t>
  </si>
  <si>
    <t>088</t>
  </si>
  <si>
    <t>Claire Haugh</t>
  </si>
  <si>
    <t>Inspection booths - quote required</t>
  </si>
  <si>
    <t>089</t>
  </si>
  <si>
    <t>American Regent - Ohio</t>
  </si>
  <si>
    <t>Sarah Lord</t>
  </si>
  <si>
    <t>Trolleys</t>
  </si>
  <si>
    <t>090</t>
  </si>
  <si>
    <t>Alexion Athlone</t>
  </si>
  <si>
    <t>Switches for VI Booths - 50010-1046-003</t>
  </si>
  <si>
    <t>091</t>
  </si>
  <si>
    <t>Electropolishing + Spanners</t>
  </si>
  <si>
    <t>092</t>
  </si>
  <si>
    <t>Thais Almeida</t>
  </si>
  <si>
    <t>Urgent Format Parts</t>
  </si>
  <si>
    <t>093</t>
  </si>
  <si>
    <t>John Fennell</t>
  </si>
  <si>
    <t>Laser Etching of Needles</t>
  </si>
  <si>
    <t>094</t>
  </si>
  <si>
    <t>CSL</t>
  </si>
  <si>
    <t>Australia</t>
  </si>
  <si>
    <t>Martin Yokanis</t>
  </si>
  <si>
    <t>Washer Racks - Castalas Canister - Belimed 860.2L</t>
  </si>
  <si>
    <t>095</t>
  </si>
  <si>
    <t>Thermofisher</t>
  </si>
  <si>
    <t>Add spares sheets to Excel file - link required from Juan</t>
  </si>
  <si>
    <t>096</t>
  </si>
  <si>
    <t>Pfizer RM</t>
  </si>
  <si>
    <t>Main rack TE43725-001</t>
  </si>
  <si>
    <t>097</t>
  </si>
  <si>
    <t>Unknown</t>
  </si>
  <si>
    <t>Spain</t>
  </si>
  <si>
    <t>Unkown</t>
  </si>
  <si>
    <t>Injection Moulded Black Trays</t>
  </si>
  <si>
    <t>098</t>
  </si>
  <si>
    <t>Tiernan Carroll</t>
  </si>
  <si>
    <t>Adjustable Block Valve Clamp Stand</t>
  </si>
  <si>
    <t>099</t>
  </si>
  <si>
    <t>Darragh Maguire/Sarah Glynn</t>
  </si>
  <si>
    <t>Two accessories simillar to previsously supplied for new type insertion tube assemblies - See link to concept for details</t>
  </si>
  <si>
    <t>F:\Amgen\Concept\AA - Washer racks\002 - March 2025\Insertion tube holder accessories</t>
  </si>
  <si>
    <t>100</t>
  </si>
  <si>
    <t>Paul Quinlan</t>
  </si>
  <si>
    <t>option to add more parts to existing TEG main rack - Belimed Ph860</t>
  </si>
  <si>
    <t>101</t>
  </si>
  <si>
    <t>Paul Fagan</t>
  </si>
  <si>
    <t>spares - SR 15</t>
  </si>
  <si>
    <t>102</t>
  </si>
  <si>
    <t>spares - add projects to Excel</t>
  </si>
  <si>
    <t>103</t>
  </si>
  <si>
    <t>LPF</t>
  </si>
  <si>
    <t>Caroline Deblonde</t>
  </si>
  <si>
    <t>Await images on Stopper bowl not washing in Getinge washer</t>
  </si>
  <si>
    <t>104</t>
  </si>
  <si>
    <t>PharOS</t>
  </si>
  <si>
    <t>Greece</t>
  </si>
  <si>
    <t>Alexandros Nafpaktitis</t>
  </si>
  <si>
    <t>Blister Layouts IMA TR200</t>
  </si>
  <si>
    <t>Julien Dagassan</t>
  </si>
  <si>
    <t>IWT Washer - revisited old project - meeting 21-jan-2025</t>
  </si>
  <si>
    <t>106</t>
  </si>
  <si>
    <t>Abbvie - Sligo</t>
  </si>
  <si>
    <t>Joe Brennan</t>
  </si>
  <si>
    <t>updated quote required</t>
  </si>
  <si>
    <t>107</t>
  </si>
  <si>
    <t>ETOP comparison</t>
  </si>
  <si>
    <t>108</t>
  </si>
  <si>
    <t>3 racks need spares list added to Master list</t>
  </si>
  <si>
    <t>109</t>
  </si>
  <si>
    <t>Cathal Doran</t>
  </si>
  <si>
    <t>Change Part Trolley</t>
  </si>
  <si>
    <t>110</t>
  </si>
  <si>
    <t>Evan Hassett</t>
  </si>
  <si>
    <t>Sensor Holder</t>
  </si>
  <si>
    <t>111</t>
  </si>
  <si>
    <t>Plunger Insertion Tool</t>
  </si>
  <si>
    <t>112</t>
  </si>
  <si>
    <t>Declan Treacy</t>
  </si>
  <si>
    <t>Sieve Mill Frame Project</t>
  </si>
  <si>
    <t>113</t>
  </si>
  <si>
    <t>Syringe Nests - QTY 10 Customer Part scanned.</t>
  </si>
  <si>
    <t>114</t>
  </si>
  <si>
    <t>Aughinish Alumina</t>
  </si>
  <si>
    <t>Kevin O'Shaughnessy</t>
  </si>
  <si>
    <t>2 day site visit - Laser and probe scanning</t>
  </si>
  <si>
    <t>115</t>
  </si>
  <si>
    <t>QR Code Etching</t>
  </si>
  <si>
    <t>116</t>
  </si>
  <si>
    <t>Sean Jones</t>
  </si>
  <si>
    <t xml:space="preserve">Drum Tap 316 SS </t>
  </si>
  <si>
    <t>F:\Chanelle\concepts\Sean Jones\52446 - Drum Tap 316 SS</t>
  </si>
  <si>
    <t>117</t>
  </si>
  <si>
    <t>MJ Malone</t>
  </si>
  <si>
    <t>SR x 6 required = TE43678</t>
  </si>
  <si>
    <t>118</t>
  </si>
  <si>
    <t>CRB Engineering</t>
  </si>
  <si>
    <t>Jay Bhatt</t>
  </si>
  <si>
    <t>Costs required so change log can be completed</t>
  </si>
  <si>
    <t>119</t>
  </si>
  <si>
    <t>Novo Nordisk</t>
  </si>
  <si>
    <t>Denmark</t>
  </si>
  <si>
    <t>Coverage report required for each part</t>
  </si>
  <si>
    <t>120</t>
  </si>
  <si>
    <t>Patheon UK</t>
  </si>
  <si>
    <t>New racks and Modified racks for Senna Parts washer</t>
  </si>
  <si>
    <t>121</t>
  </si>
  <si>
    <t>Valve rack</t>
  </si>
  <si>
    <t>122</t>
  </si>
  <si>
    <t>PEE</t>
  </si>
  <si>
    <t>Clips for Regeneron</t>
  </si>
  <si>
    <t>123</t>
  </si>
  <si>
    <t>Mark Samuel</t>
  </si>
  <si>
    <t>RTP Can Trollies</t>
  </si>
  <si>
    <t>124</t>
  </si>
  <si>
    <t>Conor Stewart</t>
  </si>
  <si>
    <t>Dummy Syringe</t>
  </si>
  <si>
    <t>125</t>
  </si>
  <si>
    <t>Manifold Frame Updgrade</t>
  </si>
  <si>
    <t>126</t>
  </si>
  <si>
    <t>Alkermes</t>
  </si>
  <si>
    <t>Edward Ryan</t>
  </si>
  <si>
    <t>Graduated Measuring Guides</t>
  </si>
  <si>
    <t>F:\Alkermes\Concept - Graduated Measuring Guides</t>
  </si>
  <si>
    <t>127</t>
  </si>
  <si>
    <t>American Regent</t>
  </si>
  <si>
    <t>Joesph Sagginario</t>
  </si>
  <si>
    <t>Steris 380 - washer racks</t>
  </si>
  <si>
    <t>128</t>
  </si>
  <si>
    <t>129</t>
  </si>
  <si>
    <t>Autoclave Accessories</t>
  </si>
  <si>
    <t>130</t>
  </si>
  <si>
    <t>131</t>
  </si>
  <si>
    <t>Noel Coady</t>
  </si>
  <si>
    <t>Inspection Tool Syringes</t>
  </si>
  <si>
    <t>132</t>
  </si>
  <si>
    <t>133</t>
  </si>
  <si>
    <t>invoice update - remove VAT</t>
  </si>
  <si>
    <t>134</t>
  </si>
  <si>
    <t>Additional parts required</t>
  </si>
  <si>
    <t>135</t>
  </si>
  <si>
    <t>Accord</t>
  </si>
  <si>
    <t>Themis Malaxianakis</t>
  </si>
  <si>
    <t>Base to bottle machine</t>
  </si>
  <si>
    <t>136</t>
  </si>
  <si>
    <t>Emer Somers</t>
  </si>
  <si>
    <t>Belimed 860 - x 2 MR</t>
  </si>
  <si>
    <t>137</t>
  </si>
  <si>
    <t>Innov8</t>
  </si>
  <si>
    <t>Shane Cornally</t>
  </si>
  <si>
    <t>Filling line 1 - Improvement project</t>
  </si>
  <si>
    <t>138</t>
  </si>
  <si>
    <t>Manifold Frame Updgrade - Revised Full Frame Version</t>
  </si>
  <si>
    <t>139</t>
  </si>
  <si>
    <t>sanofi switftwater</t>
  </si>
  <si>
    <t>Spares list checked/updated</t>
  </si>
  <si>
    <t>140</t>
  </si>
  <si>
    <t>Micheal Murphy</t>
  </si>
  <si>
    <t>Getinge Rack with modications required</t>
  </si>
  <si>
    <t>141</t>
  </si>
  <si>
    <t>John Power</t>
  </si>
  <si>
    <t>EM Plate Stands</t>
  </si>
  <si>
    <t>142</t>
  </si>
  <si>
    <t>Laser Etching</t>
  </si>
  <si>
    <t>143</t>
  </si>
  <si>
    <t>Send approvals to MA</t>
  </si>
  <si>
    <t>144</t>
  </si>
  <si>
    <t>Sarah Glynn</t>
  </si>
  <si>
    <t>Redesign existing rack - port</t>
  </si>
  <si>
    <t>145</t>
  </si>
  <si>
    <t>MSD Dundalk (WuXi)</t>
  </si>
  <si>
    <t>Modify existing WR</t>
  </si>
  <si>
    <t>146</t>
  </si>
  <si>
    <t>Viatris</t>
  </si>
  <si>
    <t>3D printing</t>
  </si>
  <si>
    <t>147</t>
  </si>
  <si>
    <t>Eli Lilly</t>
  </si>
  <si>
    <t>Check spares lists</t>
  </si>
  <si>
    <t>148</t>
  </si>
  <si>
    <t>Long Tool to lift Vials</t>
  </si>
  <si>
    <t>149</t>
  </si>
  <si>
    <t>Question about vertical frames</t>
  </si>
  <si>
    <t>150</t>
  </si>
  <si>
    <t>Michelle Gray</t>
  </si>
  <si>
    <t>questions about quote - Belimed 860</t>
  </si>
  <si>
    <t>151</t>
  </si>
  <si>
    <t>Filling Needle area to be upgraded</t>
  </si>
  <si>
    <t>152</t>
  </si>
  <si>
    <t>Darragh Maquire</t>
  </si>
  <si>
    <t>RTP Cage &amp; Rails for Amgen WR Rack project</t>
  </si>
  <si>
    <t>153</t>
  </si>
  <si>
    <t>Eugene Lambert</t>
  </si>
  <si>
    <t>Incorrect parts used in the design - Rework needed</t>
  </si>
  <si>
    <t>154</t>
  </si>
  <si>
    <t>Pfizer McPherson</t>
  </si>
  <si>
    <t>9 more Storage Trollies needed</t>
  </si>
  <si>
    <t>155</t>
  </si>
  <si>
    <t>Stallergenes - NC</t>
  </si>
  <si>
    <t>Belimed 860 - concept needed</t>
  </si>
  <si>
    <t>156</t>
  </si>
  <si>
    <t>Roman Soumar</t>
  </si>
  <si>
    <t>Vial Washer project - Mike to follow up</t>
  </si>
  <si>
    <t>157</t>
  </si>
  <si>
    <t>Main Rack 3 -RTP Rack - Cage to be desinged by TEG first</t>
  </si>
  <si>
    <t>158</t>
  </si>
  <si>
    <t>Formulation Rack - 7 Bottles</t>
  </si>
  <si>
    <t>159</t>
  </si>
  <si>
    <t>Formulation Rack - 19 Valves</t>
  </si>
  <si>
    <t>160</t>
  </si>
  <si>
    <t>Alka Thankachan</t>
  </si>
  <si>
    <t>Syringe Lifters</t>
  </si>
  <si>
    <t>161</t>
  </si>
  <si>
    <t>Equilibration Trolley</t>
  </si>
  <si>
    <t>162</t>
  </si>
  <si>
    <t>Two additional racks required - Drum &amp; 860.2L</t>
  </si>
  <si>
    <t>163</t>
  </si>
  <si>
    <t>Kedrion</t>
  </si>
  <si>
    <t>Hose rack - Sanitmatic Washer</t>
  </si>
  <si>
    <t>164</t>
  </si>
  <si>
    <t>Steris 480 - new rack</t>
  </si>
  <si>
    <t>165</t>
  </si>
  <si>
    <t>CRG</t>
  </si>
  <si>
    <t>Laurence Angotti</t>
  </si>
  <si>
    <t>R-clip quote</t>
  </si>
  <si>
    <t>166</t>
  </si>
  <si>
    <t>167</t>
  </si>
  <si>
    <t>China project - Tools to be updated &amp; MR9</t>
  </si>
  <si>
    <t>168</t>
  </si>
  <si>
    <t>Almac</t>
  </si>
  <si>
    <t>Gerald Hudson</t>
  </si>
  <si>
    <t>Tray Storage Trollies</t>
  </si>
  <si>
    <t>169</t>
  </si>
  <si>
    <t>Check parts to see if they fit on current racks</t>
  </si>
  <si>
    <t>170</t>
  </si>
  <si>
    <t>Amgen</t>
  </si>
  <si>
    <t>Latch issues</t>
  </si>
  <si>
    <t>171</t>
  </si>
  <si>
    <t>172</t>
  </si>
  <si>
    <t>Schedule required for new Brazil Project</t>
  </si>
  <si>
    <t>173</t>
  </si>
  <si>
    <t>Lock Bolt - URGENT</t>
  </si>
  <si>
    <t>174</t>
  </si>
  <si>
    <t>175</t>
  </si>
  <si>
    <t>Moderna</t>
  </si>
  <si>
    <t>Robert Roy</t>
  </si>
  <si>
    <t>potential new project</t>
  </si>
  <si>
    <t>176</t>
  </si>
  <si>
    <t>1mL PFS Media Fill IPC Plunger Depth Guage</t>
  </si>
  <si>
    <t>177</t>
  </si>
  <si>
    <t>Collar (34336-003-01)</t>
  </si>
  <si>
    <t>178</t>
  </si>
  <si>
    <t>Diosna Funnel &amp; Pipe Connection - Test Fit - Sales presentation reqd</t>
  </si>
  <si>
    <t>179</t>
  </si>
  <si>
    <t>Signed apporval dwgs reqd</t>
  </si>
  <si>
    <t>180</t>
  </si>
  <si>
    <t>Tony Young</t>
  </si>
  <si>
    <t>Butterfly Valve tool</t>
  </si>
  <si>
    <t>181</t>
  </si>
  <si>
    <t>Glove extender mods</t>
  </si>
  <si>
    <t>182</t>
  </si>
  <si>
    <t>Denester cover mods</t>
  </si>
  <si>
    <t>183</t>
  </si>
  <si>
    <t>NN - Denmark</t>
  </si>
  <si>
    <t>Washing needles/holder - in Getinge washer</t>
  </si>
  <si>
    <t>184</t>
  </si>
  <si>
    <t>Mita Minghlani</t>
  </si>
  <si>
    <t>Washing IBC's - call required week - June 2nd</t>
  </si>
  <si>
    <t>185</t>
  </si>
  <si>
    <t>Storage Trollies - Washed parts</t>
  </si>
  <si>
    <t>186</t>
  </si>
  <si>
    <t>Set Square</t>
  </si>
  <si>
    <t>187</t>
  </si>
  <si>
    <t>Urschel</t>
  </si>
  <si>
    <t>Ben McNichols</t>
  </si>
  <si>
    <t>Food equipment - holders</t>
  </si>
  <si>
    <t>Cancelled concept</t>
  </si>
  <si>
    <t>188</t>
  </si>
  <si>
    <t>Paul Carson</t>
  </si>
  <si>
    <t>Site visit - filling line</t>
  </si>
  <si>
    <t>189</t>
  </si>
  <si>
    <t>Patrick Gaffney</t>
  </si>
  <si>
    <t>Winch mechanism for a 2K SUM</t>
  </si>
  <si>
    <t>190</t>
  </si>
  <si>
    <t>O'Sullivan, Karl &amp; Catherine Galvin</t>
  </si>
  <si>
    <t>RE: Optima Vacuum Insertion Tube Holder Assembly Tool</t>
  </si>
  <si>
    <t>191</t>
  </si>
  <si>
    <t>Change log costs &amp; MR 6 redesign</t>
  </si>
  <si>
    <t>192</t>
  </si>
  <si>
    <t>TomasTerp Pieper</t>
  </si>
  <si>
    <t>modify pots - new needle diameter</t>
  </si>
  <si>
    <t>193</t>
  </si>
  <si>
    <t>Condense racks</t>
  </si>
  <si>
    <t>194</t>
  </si>
  <si>
    <t>Ethan Lee Brummel</t>
  </si>
  <si>
    <t>Schedule</t>
  </si>
  <si>
    <t>195</t>
  </si>
  <si>
    <t>Bruno Panaro</t>
  </si>
  <si>
    <t>quote list of improvments</t>
  </si>
  <si>
    <t>n/a</t>
  </si>
  <si>
    <t>196</t>
  </si>
  <si>
    <t>Rotational Magazine x 2</t>
  </si>
  <si>
    <t>197</t>
  </si>
  <si>
    <t>Feeder Tracks - tablets sticking</t>
  </si>
  <si>
    <t>198</t>
  </si>
  <si>
    <t>Case Packer - Warehouse</t>
  </si>
  <si>
    <t>199</t>
  </si>
  <si>
    <t>Ivan - TEG</t>
  </si>
  <si>
    <t>Solidworks files</t>
  </si>
  <si>
    <t>200</t>
  </si>
  <si>
    <t>201</t>
  </si>
  <si>
    <t>202</t>
  </si>
  <si>
    <t>Ahmed Nasir</t>
  </si>
  <si>
    <t>Combine two racks - Sanimatic</t>
  </si>
  <si>
    <t>203</t>
  </si>
  <si>
    <t>Additional etching of dummy syringes</t>
  </si>
  <si>
    <t>204</t>
  </si>
  <si>
    <t>racks similar to Australia project</t>
  </si>
  <si>
    <t>205</t>
  </si>
  <si>
    <t xml:space="preserve">Patheon  </t>
  </si>
  <si>
    <t>Hannah Simpson</t>
  </si>
  <si>
    <t>change of part on the project</t>
  </si>
  <si>
    <t>206</t>
  </si>
  <si>
    <t>Carl Gustav</t>
  </si>
  <si>
    <t>New Utensils - formulation parts</t>
  </si>
  <si>
    <t>207</t>
  </si>
  <si>
    <t>TEG - rendering</t>
  </si>
  <si>
    <t>Rendering - Inspection booth</t>
  </si>
  <si>
    <t>208</t>
  </si>
  <si>
    <t>Gaelic Labs - Clonmel</t>
  </si>
  <si>
    <t>Site Audit - Measure/Model Tooling</t>
  </si>
  <si>
    <t>209</t>
  </si>
  <si>
    <t>Stainless Steel Shims - 2mm-6mm</t>
  </si>
  <si>
    <t>210</t>
  </si>
  <si>
    <t>Byran Stokes Cawly</t>
  </si>
  <si>
    <t>New Accessories</t>
  </si>
  <si>
    <t>211</t>
  </si>
  <si>
    <t>Machine layout - Noack Remaro - N921</t>
  </si>
  <si>
    <t>212</t>
  </si>
  <si>
    <t>TEG - Jig</t>
  </si>
  <si>
    <t>Simtap Stopper Mould tool</t>
  </si>
  <si>
    <t>213</t>
  </si>
  <si>
    <t>Model OEM Tooling</t>
  </si>
  <si>
    <t>214</t>
  </si>
  <si>
    <t>Schott Bottles</t>
  </si>
  <si>
    <t>Elsa Silva Goncalves</t>
  </si>
  <si>
    <t>Simulation for Nozzles/Containers</t>
  </si>
  <si>
    <t>215</t>
  </si>
  <si>
    <t>Carlow</t>
  </si>
  <si>
    <t>John Whelan</t>
  </si>
  <si>
    <t>Silicone Suction cups - Alternative</t>
  </si>
  <si>
    <t>216</t>
  </si>
  <si>
    <t>NN - Athlone</t>
  </si>
  <si>
    <t>John Sammon</t>
  </si>
  <si>
    <t>Washer Racks</t>
  </si>
  <si>
    <t>217</t>
  </si>
  <si>
    <t>Justin Rafferty</t>
  </si>
  <si>
    <t>Site Visit</t>
  </si>
  <si>
    <t>218</t>
  </si>
  <si>
    <t>Amgen - Waterford</t>
  </si>
  <si>
    <t>Colm Dodd</t>
  </si>
  <si>
    <t>Roughing document</t>
  </si>
  <si>
    <t>219</t>
  </si>
  <si>
    <t>Merck Rahway</t>
  </si>
  <si>
    <t>WR &amp; Storage Trollies</t>
  </si>
  <si>
    <t>220</t>
  </si>
  <si>
    <t>Catherine Galvin</t>
  </si>
  <si>
    <t>Isolator guide rails - setting device</t>
  </si>
  <si>
    <t>221</t>
  </si>
  <si>
    <t>Batch 4 Sub racks</t>
  </si>
  <si>
    <t>222</t>
  </si>
  <si>
    <t>Accessory for bottles</t>
  </si>
  <si>
    <t>223</t>
  </si>
  <si>
    <t>Amgen RI</t>
  </si>
  <si>
    <t>Question on probe holders</t>
  </si>
  <si>
    <t>224</t>
  </si>
  <si>
    <t>Additional cost for bearing wheels</t>
  </si>
  <si>
    <t>225</t>
  </si>
  <si>
    <t>Sieve Mill Table</t>
  </si>
  <si>
    <t>226</t>
  </si>
  <si>
    <t xml:space="preserve">Brendan Kiely </t>
  </si>
  <si>
    <t>4263133 Disc - PDF drawing</t>
  </si>
  <si>
    <t>227</t>
  </si>
  <si>
    <t>Seamus Fenton</t>
  </si>
  <si>
    <t>Source bolts/springs</t>
  </si>
  <si>
    <t>228</t>
  </si>
  <si>
    <t>Schedule - new racks - separate project</t>
  </si>
  <si>
    <t>229</t>
  </si>
  <si>
    <t>Machine layout - Noack Remaco - N623</t>
  </si>
  <si>
    <t>230</t>
  </si>
  <si>
    <t>B1240 Quadrant and vertical spring feeder mounting for test rig</t>
  </si>
  <si>
    <t>231</t>
  </si>
  <si>
    <t>Storage Trollies - Fromat parts</t>
  </si>
  <si>
    <t>232</t>
  </si>
  <si>
    <t>Formulation parts - Fra-US</t>
  </si>
  <si>
    <t>233</t>
  </si>
  <si>
    <t>Formulation parts - China - Brazil</t>
  </si>
  <si>
    <t>234</t>
  </si>
  <si>
    <t>Benton Berger</t>
  </si>
  <si>
    <t>New Accessories for exisiting Rack</t>
  </si>
  <si>
    <t>F:\Thermo Fisher - Greenville - NC\concept\018 - Thermofisher - New Accessorys - July 2025</t>
  </si>
  <si>
    <t>235</t>
  </si>
  <si>
    <t>Dariuz Wolniaczyk</t>
  </si>
  <si>
    <t>Dummy vials quote - Email from Jolanta</t>
  </si>
  <si>
    <t>236</t>
  </si>
  <si>
    <t>TEG</t>
  </si>
  <si>
    <t>Charles</t>
  </si>
  <si>
    <t>Fabrication jigs</t>
  </si>
  <si>
    <t>237</t>
  </si>
  <si>
    <t>238</t>
  </si>
  <si>
    <t>Donna Boyd</t>
  </si>
  <si>
    <t>Bunded Trolley</t>
  </si>
  <si>
    <t>239</t>
  </si>
  <si>
    <t>Benjamin Carter</t>
  </si>
  <si>
    <t>Canister and needle holder parts - SR needed - comparing quotes - 21st Aug</t>
  </si>
  <si>
    <t>240</t>
  </si>
  <si>
    <t>Genzyme</t>
  </si>
  <si>
    <t>Steve Peglow</t>
  </si>
  <si>
    <t>3 SR needed</t>
  </si>
  <si>
    <t>241</t>
  </si>
  <si>
    <t>Change log - rev E - quote required</t>
  </si>
  <si>
    <t>242</t>
  </si>
  <si>
    <t>Ian taylor</t>
  </si>
  <si>
    <t>Probe washing</t>
  </si>
  <si>
    <t>243</t>
  </si>
  <si>
    <t>Eakin</t>
  </si>
  <si>
    <t>Cutting Tool not working - solution required</t>
  </si>
  <si>
    <t>244</t>
  </si>
  <si>
    <t>Keith Phelps</t>
  </si>
  <si>
    <t>Spares</t>
  </si>
  <si>
    <t>245</t>
  </si>
  <si>
    <t>246</t>
  </si>
  <si>
    <t>Pfizer Andover</t>
  </si>
  <si>
    <t>Danielle Selasi Amegashie</t>
  </si>
  <si>
    <t>Spares - SR 4 &amp; 7</t>
  </si>
  <si>
    <t>247</t>
  </si>
  <si>
    <t>Duplicate racks - Sr4 &amp; SR 13</t>
  </si>
  <si>
    <t>248</t>
  </si>
  <si>
    <t>Fit &amp; Test Format parts</t>
  </si>
  <si>
    <t>249</t>
  </si>
  <si>
    <t>Pawel Chapski</t>
  </si>
  <si>
    <t>SS Hooks</t>
  </si>
  <si>
    <t>250</t>
  </si>
  <si>
    <t>Spares - Excel files</t>
  </si>
  <si>
    <t>251</t>
  </si>
  <si>
    <t>GEMBA</t>
  </si>
  <si>
    <t>Catriona Mordan</t>
  </si>
  <si>
    <t>Factory Tour - guys looking into lean processes in TEG factory floor - 3rd Sep</t>
  </si>
  <si>
    <t>252</t>
  </si>
  <si>
    <t>Incyte</t>
  </si>
  <si>
    <t>Fabien RAMAT</t>
  </si>
  <si>
    <t>Karen - Customer looking for inspection booths - emailed RM</t>
  </si>
  <si>
    <t>253</t>
  </si>
  <si>
    <t>Can TEG deliver racks July 2026</t>
  </si>
  <si>
    <t>254</t>
  </si>
  <si>
    <t>Belimed - CRB</t>
  </si>
  <si>
    <t>Slovienia</t>
  </si>
  <si>
    <t>Stefan Wolf</t>
  </si>
  <si>
    <t>Return Vessel which was incorrectly shipped</t>
  </si>
  <si>
    <t>255</t>
  </si>
  <si>
    <t>Trollies to be fitted with new shelves</t>
  </si>
  <si>
    <t>256</t>
  </si>
  <si>
    <t>Trey Thomas</t>
  </si>
  <si>
    <t>Small Hopper - rack needed</t>
  </si>
  <si>
    <t>257</t>
  </si>
  <si>
    <t>EMS Brazil</t>
  </si>
  <si>
    <t>Michel Jemael</t>
  </si>
  <si>
    <t>BEC700 Layouts</t>
  </si>
  <si>
    <t>258</t>
  </si>
  <si>
    <t>Sanofi</t>
  </si>
  <si>
    <t>Get a quote from Strikebox</t>
  </si>
  <si>
    <t>259</t>
  </si>
  <si>
    <t>Steelco DS2000 - 2 loads</t>
  </si>
  <si>
    <t>260</t>
  </si>
  <si>
    <t>FUJI</t>
  </si>
  <si>
    <t>Getinge 131313 - Filter bases - 4 types - module racks</t>
  </si>
  <si>
    <t>261</t>
  </si>
  <si>
    <t>Galien</t>
  </si>
  <si>
    <t>CAM NMX Layout</t>
  </si>
  <si>
    <t>262</t>
  </si>
  <si>
    <t>Washer Racks - Quote required for concept - 216</t>
  </si>
  <si>
    <t>263</t>
  </si>
  <si>
    <t>Tjoapack</t>
  </si>
  <si>
    <t>Machine layout - Uhlmann - B1240</t>
  </si>
  <si>
    <t>X:\Uhlmann\B1240\Tjoapack - Netherlands</t>
  </si>
  <si>
    <t>264</t>
  </si>
  <si>
    <t>Mercury Rising Athlone</t>
  </si>
  <si>
    <t>John Kiernan</t>
  </si>
  <si>
    <t>10L Vessel</t>
  </si>
  <si>
    <t>265</t>
  </si>
  <si>
    <t>Sink &amp; bucket Trolley</t>
  </si>
  <si>
    <t>266</t>
  </si>
  <si>
    <t>Blister layouts &amp; cardboard wallet concept</t>
  </si>
  <si>
    <t>F:\Alkermes\Concept for ALKS-2680</t>
  </si>
  <si>
    <t>267</t>
  </si>
  <si>
    <t>Kieran Finlayson</t>
  </si>
  <si>
    <t>268</t>
  </si>
  <si>
    <t>Jigs required for EP line</t>
  </si>
  <si>
    <t>269</t>
  </si>
  <si>
    <t>EM Plate Stands - design to be changed to Optima style</t>
  </si>
  <si>
    <t>270</t>
  </si>
  <si>
    <t>Campbell Watson</t>
  </si>
  <si>
    <t>Nplate format part - QTY5/6 Guides to be made. Customer to confirm</t>
  </si>
  <si>
    <t>271</t>
  </si>
  <si>
    <t>Canister SR required - add to SO 23451</t>
  </si>
  <si>
    <t>272</t>
  </si>
  <si>
    <t>Darren McCormack</t>
  </si>
  <si>
    <t>IBC - Wet In Place</t>
  </si>
  <si>
    <t>273</t>
  </si>
  <si>
    <t>Schedule on site visit</t>
  </si>
  <si>
    <t>274</t>
  </si>
  <si>
    <t xml:space="preserve">Amgen </t>
  </si>
  <si>
    <t>Laser Etching + Mirror Polish &amp; Passivation</t>
  </si>
  <si>
    <t>275</t>
  </si>
  <si>
    <t>Fedegari</t>
  </si>
  <si>
    <t>Italy</t>
  </si>
  <si>
    <t>Joel Fricker</t>
  </si>
  <si>
    <t>Autoclave Basket</t>
  </si>
  <si>
    <t>276</t>
  </si>
  <si>
    <t>MSD (WuXi)</t>
  </si>
  <si>
    <t>Katarzyna Martin</t>
  </si>
  <si>
    <t>Vial Crimping Holder Parts</t>
  </si>
  <si>
    <t>277</t>
  </si>
  <si>
    <t>Block Valve Stand - T Shape</t>
  </si>
  <si>
    <t>278</t>
  </si>
  <si>
    <t>Kevin Hayes</t>
  </si>
  <si>
    <t>Injection Moulded Grey Trays x 900</t>
  </si>
  <si>
    <t>279</t>
  </si>
  <si>
    <t>Craig Coyle</t>
  </si>
  <si>
    <t>Pessure Valve Thread Repair</t>
  </si>
  <si>
    <t>280</t>
  </si>
  <si>
    <t>RTP Can &amp; Trolley Hooks</t>
  </si>
  <si>
    <t>281</t>
  </si>
  <si>
    <t>Kieran McDonnell</t>
  </si>
  <si>
    <t>Valve replacment parts - Expedited</t>
  </si>
  <si>
    <t>282</t>
  </si>
  <si>
    <t>Stopper Bowl Sensor Bracket</t>
  </si>
  <si>
    <t>283</t>
  </si>
  <si>
    <t>Joan Coloe</t>
  </si>
  <si>
    <t>Etching Cuvettes</t>
  </si>
  <si>
    <t>284</t>
  </si>
  <si>
    <t>Add Hole to Tweezers + Etching of Parts</t>
  </si>
  <si>
    <t>285</t>
  </si>
  <si>
    <t>New parts list and STP files</t>
  </si>
  <si>
    <t>286</t>
  </si>
  <si>
    <t>Merck WP</t>
  </si>
  <si>
    <t>Trevor Santa Lucia</t>
  </si>
  <si>
    <t>Fedegari Washer  &amp; parts</t>
  </si>
  <si>
    <t>287</t>
  </si>
  <si>
    <t>Ryan Tully</t>
  </si>
  <si>
    <t>Vial line improvements - Await customer feedback</t>
  </si>
  <si>
    <t>288</t>
  </si>
  <si>
    <t>USA</t>
  </si>
  <si>
    <t>Cassidy Bolon</t>
  </si>
  <si>
    <t>Rework Manifold Rack</t>
  </si>
  <si>
    <t>289</t>
  </si>
  <si>
    <t>New Tube acc for needle holder on existing WR</t>
  </si>
  <si>
    <t>290</t>
  </si>
  <si>
    <t>Sinead Ellison</t>
  </si>
  <si>
    <t>EP Stopper Bowl / Hopper</t>
  </si>
  <si>
    <t>291</t>
  </si>
  <si>
    <t>292</t>
  </si>
  <si>
    <t>Andrew Blomstedt</t>
  </si>
  <si>
    <t>Spare parts - 44 parts. Quantities TBC</t>
  </si>
  <si>
    <t>293</t>
  </si>
  <si>
    <t>WR x 2 - TFS line 9 - SR12/SR13</t>
  </si>
  <si>
    <t>294</t>
  </si>
  <si>
    <t>Rework Racks - concept done on item 319</t>
  </si>
  <si>
    <t>295</t>
  </si>
  <si>
    <t>Small projects</t>
  </si>
  <si>
    <t>296</t>
  </si>
  <si>
    <t>MSD - Dundalk</t>
  </si>
  <si>
    <t>Jonny McGovern</t>
  </si>
  <si>
    <t>Scissors type Tongs - 700mm (vial lifter)</t>
  </si>
  <si>
    <t>297</t>
  </si>
  <si>
    <t>Jacob Raju</t>
  </si>
  <si>
    <t>N623 Layouts for 2 projects</t>
  </si>
  <si>
    <t>298</t>
  </si>
  <si>
    <t>Alexion - Athlone</t>
  </si>
  <si>
    <r>
      <t xml:space="preserve">Drip Tray/  Deflection Plate - </t>
    </r>
    <r>
      <rPr>
        <sz val="11"/>
        <color rgb="FFFF0000"/>
        <rFont val="Aptos Narrow"/>
        <family val="2"/>
        <scheme val="minor"/>
      </rPr>
      <t>CONCEPT PUT ON HOLD BY CUSTOMER</t>
    </r>
  </si>
  <si>
    <t>299</t>
  </si>
  <si>
    <t>GSK Wavre</t>
  </si>
  <si>
    <t>Belgium</t>
  </si>
  <si>
    <t>Joroen Van Der Staaji</t>
  </si>
  <si>
    <t>Cleaning Tee piece - Tank outlet - MW started job - 24th Oct</t>
  </si>
  <si>
    <t>300</t>
  </si>
  <si>
    <t>Sales quote for 6R Dummy Vial parts &amp; re-etching</t>
  </si>
  <si>
    <t>301</t>
  </si>
  <si>
    <t>MSD Carlow</t>
  </si>
  <si>
    <t>Diarmuid Kelleher</t>
  </si>
  <si>
    <t>Lifter Trolley for current Getinge Washer</t>
  </si>
  <si>
    <t>302</t>
  </si>
  <si>
    <t>Biogen</t>
  </si>
  <si>
    <t>Conor Lynn</t>
  </si>
  <si>
    <t>Dwg needed for Aerie Washer</t>
  </si>
  <si>
    <t>303</t>
  </si>
  <si>
    <t>Randox</t>
  </si>
  <si>
    <t>Aoife McGarvey</t>
  </si>
  <si>
    <t>146 parts - Quote for information purposes only</t>
  </si>
  <si>
    <t>304</t>
  </si>
  <si>
    <t>Novartis</t>
  </si>
  <si>
    <t>Magdalena Walaszczyk</t>
  </si>
  <si>
    <t>3 Blister Layouts</t>
  </si>
  <si>
    <t>305</t>
  </si>
  <si>
    <t>Servier</t>
  </si>
  <si>
    <t>Blandine Maignan</t>
  </si>
  <si>
    <t>Fedegari Washer Rack</t>
  </si>
  <si>
    <t>306</t>
  </si>
  <si>
    <t>Groninger Filling Pump Locking Pin</t>
  </si>
  <si>
    <t>307</t>
  </si>
  <si>
    <t>Biofarm</t>
  </si>
  <si>
    <t>Romania</t>
  </si>
  <si>
    <t>Marian Zloteanu</t>
  </si>
  <si>
    <t>UPS300 Lower Seal modification</t>
  </si>
  <si>
    <t>308</t>
  </si>
  <si>
    <t>Ken Charles</t>
  </si>
  <si>
    <t>Contracts - Anthony to reply</t>
  </si>
  <si>
    <t>309</t>
  </si>
  <si>
    <t>Vial line scanning - compare old and new sets - Saturday Site visit</t>
  </si>
  <si>
    <t>310</t>
  </si>
  <si>
    <t>Uniplanta</t>
  </si>
  <si>
    <t>Hungary</t>
  </si>
  <si>
    <t>Károly Kovács</t>
  </si>
  <si>
    <t>UPS300 Blister Layout</t>
  </si>
  <si>
    <t>311</t>
  </si>
  <si>
    <t>Prior Medical</t>
  </si>
  <si>
    <t>Paul Gill</t>
  </si>
  <si>
    <t>Plates for milling</t>
  </si>
  <si>
    <t>312</t>
  </si>
  <si>
    <t>Washer Rack &amp; Autocalve Concept</t>
  </si>
  <si>
    <t>313</t>
  </si>
  <si>
    <t>David Pereira</t>
  </si>
  <si>
    <t>Hooks &amp; Perf baskets</t>
  </si>
  <si>
    <t>314</t>
  </si>
  <si>
    <t>LFB</t>
  </si>
  <si>
    <t>Julien Felix</t>
  </si>
  <si>
    <t>Change out sprayball to symetrically type</t>
  </si>
  <si>
    <t>315</t>
  </si>
  <si>
    <t>Eoin Howard</t>
  </si>
  <si>
    <t>Washer Rack Combi line - future project</t>
  </si>
  <si>
    <t>316</t>
  </si>
  <si>
    <t>Jose R Batista</t>
  </si>
  <si>
    <t>Spares for Girton rack - Inlet parts</t>
  </si>
  <si>
    <t>317</t>
  </si>
  <si>
    <t>Megan walker</t>
  </si>
  <si>
    <t>Steris/Getinge Rack - B&amp;S lines</t>
  </si>
  <si>
    <t>318</t>
  </si>
  <si>
    <t>Glove extender Trolley</t>
  </si>
  <si>
    <t>319</t>
  </si>
  <si>
    <t>Betsy Finelli</t>
  </si>
  <si>
    <t>TEG PDS3</t>
  </si>
  <si>
    <t>320</t>
  </si>
  <si>
    <t>CSL Line TEG Racks 15 &amp; 16</t>
  </si>
  <si>
    <t>321</t>
  </si>
  <si>
    <t>Insertion Tube Holder</t>
  </si>
  <si>
    <t>322</t>
  </si>
  <si>
    <t>Insertion Rod Holder</t>
  </si>
  <si>
    <t>323</t>
  </si>
  <si>
    <t>Vacuum Tester</t>
  </si>
  <si>
    <t>324</t>
  </si>
  <si>
    <t>Ensera - Lakelands</t>
  </si>
  <si>
    <t>George Coghlan</t>
  </si>
  <si>
    <t>Getinge Washer &amp; 5 implants types</t>
  </si>
  <si>
    <t>325</t>
  </si>
  <si>
    <t>QTY 12 EM plate stands and double stack holder</t>
  </si>
  <si>
    <t>326</t>
  </si>
  <si>
    <t>Vial line improvements - Kate &amp; Roland on site 3 days perhaps</t>
  </si>
  <si>
    <t>327</t>
  </si>
  <si>
    <t>Kevin O Reilly</t>
  </si>
  <si>
    <t>looking for spares to be identified - SR 4 - TE46205</t>
  </si>
  <si>
    <t>328</t>
  </si>
  <si>
    <t>Enterprise Ireland</t>
  </si>
  <si>
    <t>Tina O Keeffe</t>
  </si>
  <si>
    <t>Project Grant - Project approval - IP 2025 1128 - Automated polishing of welds</t>
  </si>
  <si>
    <t>329</t>
  </si>
  <si>
    <t>Domaco</t>
  </si>
  <si>
    <t>Thomas Huber</t>
  </si>
  <si>
    <t>Marchesini MB450 Layout</t>
  </si>
  <si>
    <t>330</t>
  </si>
  <si>
    <t>Mark coffey</t>
  </si>
  <si>
    <t>looking for spares to be added to website</t>
  </si>
  <si>
    <t>331</t>
  </si>
  <si>
    <t>looking for Quote to measure parts in Syntegon - week 2 2026</t>
  </si>
  <si>
    <t>332</t>
  </si>
  <si>
    <t>52890 - Stainless Steel Rod &amp; End Piece</t>
  </si>
  <si>
    <t>333</t>
  </si>
  <si>
    <t>1L Change parts - Scans</t>
  </si>
  <si>
    <t>334</t>
  </si>
  <si>
    <t>Bausch &amp; Lomb</t>
  </si>
  <si>
    <t>Eoin Doyle</t>
  </si>
  <si>
    <t>Contact Lens Pegasus LED Aram Vacuum Picker Tio - BL000041073</t>
  </si>
  <si>
    <t>335</t>
  </si>
  <si>
    <t>Starwheel - new vesion required</t>
  </si>
  <si>
    <t>336</t>
  </si>
  <si>
    <t>Gary Mullen</t>
  </si>
  <si>
    <t>L2 PMS Airnet bracket</t>
  </si>
  <si>
    <t>337</t>
  </si>
  <si>
    <t>Desiccant restriction sieve assembly in the Tablet Hopper</t>
  </si>
  <si>
    <t>338</t>
  </si>
  <si>
    <t>Baskets for tools</t>
  </si>
  <si>
    <t>339</t>
  </si>
  <si>
    <t>Rutten Vessels</t>
  </si>
  <si>
    <t>340</t>
  </si>
  <si>
    <t>Sean Corkery</t>
  </si>
  <si>
    <t>Cuno Vessel - protective pads required</t>
  </si>
  <si>
    <t>341</t>
  </si>
  <si>
    <t>Duplicate Sub racks - 3 types</t>
  </si>
  <si>
    <t>342</t>
  </si>
  <si>
    <t>Alrazi Pharma</t>
  </si>
  <si>
    <t>Saudi Arabia</t>
  </si>
  <si>
    <t>Al Moutasem Bellah</t>
  </si>
  <si>
    <t>Eye dropper - moulding</t>
  </si>
  <si>
    <t>343</t>
  </si>
  <si>
    <t>Geloab</t>
  </si>
  <si>
    <t>Michel Jamel</t>
  </si>
  <si>
    <t>CP600 New Layout</t>
  </si>
  <si>
    <t>344</t>
  </si>
  <si>
    <t>Laboratoria Wolfs</t>
  </si>
  <si>
    <t>Thomas Willekens</t>
  </si>
  <si>
    <t>N760 Upper Seal Repair</t>
  </si>
  <si>
    <t>345</t>
  </si>
  <si>
    <t>Clayton Manning</t>
  </si>
  <si>
    <t>RE: Quote for additional SRs for Line 9</t>
  </si>
  <si>
    <t>346</t>
  </si>
  <si>
    <t>TEG Rack for Lines 5/7 Parts Washer Inquiry: Perforated Hybrid Chute</t>
  </si>
  <si>
    <t>347</t>
  </si>
  <si>
    <t xml:space="preserve">Amoun Pharma </t>
  </si>
  <si>
    <t>Egypt</t>
  </si>
  <si>
    <t>Ahmed Moaz</t>
  </si>
  <si>
    <t>BEC500 Layout</t>
  </si>
  <si>
    <t>348</t>
  </si>
  <si>
    <t>Abbvie Sligo</t>
  </si>
  <si>
    <t>Washer Rack &amp; Autoclave rack upgrades</t>
  </si>
  <si>
    <t>349</t>
  </si>
  <si>
    <t>Robbie Barry</t>
  </si>
  <si>
    <t>Sterility Syringe Racks</t>
  </si>
  <si>
    <t>350</t>
  </si>
  <si>
    <t>Stopper Track Alignment Gauge</t>
  </si>
  <si>
    <t>351</t>
  </si>
  <si>
    <t>URS for TEG racks</t>
  </si>
  <si>
    <t>352</t>
  </si>
  <si>
    <t>Lonza</t>
  </si>
  <si>
    <t>Kevin Fux</t>
  </si>
  <si>
    <t>TC Blocks not draining</t>
  </si>
  <si>
    <t>353</t>
  </si>
  <si>
    <t>Karl Faulkner</t>
  </si>
  <si>
    <t>Platform dupilate - TE49077</t>
  </si>
  <si>
    <t>354</t>
  </si>
  <si>
    <t>Rulers needed - quote required</t>
  </si>
  <si>
    <t>355</t>
  </si>
  <si>
    <t>looking for presentation and quote for reworked Optima racks</t>
  </si>
  <si>
    <t>356</t>
  </si>
  <si>
    <t>Pfizer Madrid</t>
  </si>
  <si>
    <t xml:space="preserve">Antonio Vicente Martin </t>
  </si>
  <si>
    <t>Needle starightening tool - needs updates</t>
  </si>
  <si>
    <t>357</t>
  </si>
  <si>
    <t>Haleon</t>
  </si>
  <si>
    <t>Colin Dennehy</t>
  </si>
  <si>
    <t xml:space="preserve"> Repair of C95 Index Roller</t>
  </si>
  <si>
    <t>358</t>
  </si>
  <si>
    <t>Pipework needed for particle loss study</t>
  </si>
  <si>
    <t>359</t>
  </si>
  <si>
    <t>Diana Meriakri</t>
  </si>
  <si>
    <t>Bespoke Forceps</t>
  </si>
  <si>
    <t>360</t>
  </si>
  <si>
    <t>Clive Kilroy</t>
  </si>
  <si>
    <t>Dummy Vials/Holders/Trolley</t>
  </si>
  <si>
    <t>361</t>
  </si>
  <si>
    <t>Liam Foster</t>
  </si>
  <si>
    <t>Repair Job</t>
  </si>
  <si>
    <t>362</t>
  </si>
  <si>
    <t>ASM of C95 Index Roller for future order</t>
  </si>
  <si>
    <t>363</t>
  </si>
  <si>
    <t>GSK Singapore</t>
  </si>
  <si>
    <t xml:space="preserve">Lijin Ayyathan </t>
  </si>
  <si>
    <t>Wash parts in Belimed washer</t>
  </si>
  <si>
    <t>364</t>
  </si>
  <si>
    <t xml:space="preserve">Sink &amp; bucket </t>
  </si>
  <si>
    <t>365</t>
  </si>
  <si>
    <t>Mark Kelly</t>
  </si>
  <si>
    <t>Grease leaking on shaft</t>
  </si>
  <si>
    <t>366</t>
  </si>
  <si>
    <t>Bryan Ritchie</t>
  </si>
  <si>
    <t>measure new line in suite 8</t>
  </si>
  <si>
    <t>367</t>
  </si>
  <si>
    <t>Aidan Kiely</t>
  </si>
  <si>
    <t>Washer Rack &amp; Autoclave racks</t>
  </si>
  <si>
    <t>368</t>
  </si>
  <si>
    <t>PharmaPath</t>
  </si>
  <si>
    <t>IMA TR130,TR135,TR200 sales quotes</t>
  </si>
  <si>
    <t>369</t>
  </si>
  <si>
    <t>Stephen Walsh</t>
  </si>
  <si>
    <t>Inspection Mirror</t>
  </si>
  <si>
    <t>370</t>
  </si>
  <si>
    <t>Isolator Door Panes</t>
  </si>
  <si>
    <t>371</t>
  </si>
  <si>
    <t>Stopper Track + Lifting Head Repair</t>
  </si>
  <si>
    <t>372</t>
  </si>
  <si>
    <t>Parts For Etching</t>
  </si>
  <si>
    <t>373</t>
  </si>
  <si>
    <t>Stopper Track Guages - Rev B</t>
  </si>
  <si>
    <t>374</t>
  </si>
  <si>
    <t>Andrew Grace</t>
  </si>
  <si>
    <t>RTC Basket Tool Holder</t>
  </si>
  <si>
    <t>375</t>
  </si>
  <si>
    <t>Conveyor Shafts + Bearings</t>
  </si>
  <si>
    <t>376</t>
  </si>
  <si>
    <t>Haleon - Karen</t>
  </si>
  <si>
    <t>Marco Karam</t>
  </si>
  <si>
    <t>Muller PDC 1600</t>
  </si>
  <si>
    <t>377</t>
  </si>
  <si>
    <t>Conor Lennon</t>
  </si>
  <si>
    <t>issue with TC connector</t>
  </si>
  <si>
    <t>378</t>
  </si>
  <si>
    <t>Add parts to racks</t>
  </si>
  <si>
    <t>379</t>
  </si>
  <si>
    <t>drop in pressure</t>
  </si>
  <si>
    <t>380</t>
  </si>
  <si>
    <t>Mick Flynn</t>
  </si>
  <si>
    <t>NG Feeder Assembly Transport Trolley</t>
  </si>
  <si>
    <t>F:\Chanelle\52938 - NG Feeder Assembly Transport Trolley</t>
  </si>
  <si>
    <t>381</t>
  </si>
  <si>
    <t>Pfizer Kalamazoo</t>
  </si>
  <si>
    <t>Brooke Hardy</t>
  </si>
  <si>
    <t>Changing parts on 3 sub racks</t>
  </si>
  <si>
    <t>382</t>
  </si>
  <si>
    <t>Mayoly</t>
  </si>
  <si>
    <t>IMA C90 Layout</t>
  </si>
  <si>
    <t>383</t>
  </si>
  <si>
    <t>Tabuk</t>
  </si>
  <si>
    <t>Uhlmann B1440 Layout</t>
  </si>
  <si>
    <t>384</t>
  </si>
  <si>
    <t>Luftanza</t>
  </si>
  <si>
    <t>trollies</t>
  </si>
  <si>
    <t>385</t>
  </si>
  <si>
    <t>schedule</t>
  </si>
  <si>
    <t>386</t>
  </si>
  <si>
    <t>Bosch TLT1400 Layout</t>
  </si>
  <si>
    <t>387</t>
  </si>
  <si>
    <t xml:space="preserve">List of all tools manufactured for Bisporolol 110 x 39 N623 </t>
  </si>
  <si>
    <t>388</t>
  </si>
  <si>
    <t xml:space="preserve">List of all tools manufactured for Prazitel N623 </t>
  </si>
  <si>
    <t>389</t>
  </si>
  <si>
    <t>100mm Ø Gland Plate</t>
  </si>
  <si>
    <t>390</t>
  </si>
  <si>
    <t>Irealand</t>
  </si>
  <si>
    <t>Ethan Campbell</t>
  </si>
  <si>
    <t>Isolator Door Pane</t>
  </si>
  <si>
    <t>391</t>
  </si>
  <si>
    <t>Abbvie</t>
  </si>
  <si>
    <t>Tweezer &amp; Forceps</t>
  </si>
  <si>
    <t>392</t>
  </si>
  <si>
    <t>Oisin Langan</t>
  </si>
  <si>
    <t>Stainless Steel Signage</t>
  </si>
  <si>
    <t>393</t>
  </si>
  <si>
    <t>BMS - Blanchardstown</t>
  </si>
  <si>
    <t>Guard Door</t>
  </si>
  <si>
    <t>394</t>
  </si>
  <si>
    <t>Optima Shaft Rake - Lubrication Issue</t>
  </si>
  <si>
    <t>395</t>
  </si>
  <si>
    <t>Samples measurements / Layout updates</t>
  </si>
  <si>
    <t>396</t>
  </si>
  <si>
    <t>EVA Pharma</t>
  </si>
  <si>
    <t>Samples identification &amp; measurements</t>
  </si>
  <si>
    <t>397</t>
  </si>
  <si>
    <t>MBL</t>
  </si>
  <si>
    <t>Europe</t>
  </si>
  <si>
    <t>Erich Nussbaumer</t>
  </si>
  <si>
    <t>398</t>
  </si>
  <si>
    <t>Thermofisher UK</t>
  </si>
  <si>
    <t>Jason Mainwaring</t>
  </si>
  <si>
    <t>Sienna Washer TBC</t>
  </si>
  <si>
    <t>399</t>
  </si>
  <si>
    <t>SQ 234472</t>
  </si>
  <si>
    <t>400</t>
  </si>
  <si>
    <t xml:space="preserve">Tabuk </t>
  </si>
  <si>
    <t>Mahmoud Abusaif</t>
  </si>
  <si>
    <t>Layout updates</t>
  </si>
  <si>
    <t>401</t>
  </si>
  <si>
    <t>Nils Ludriks</t>
  </si>
  <si>
    <t>Welding Hooks onto covers</t>
  </si>
  <si>
    <t>402</t>
  </si>
  <si>
    <t>Theo Farrell</t>
  </si>
  <si>
    <t>Format Part Trolley Castors</t>
  </si>
  <si>
    <t>403</t>
  </si>
  <si>
    <t>Project for Surge Bag Light Protection</t>
  </si>
  <si>
    <t>404</t>
  </si>
  <si>
    <t>BMS</t>
  </si>
  <si>
    <t>Guard Door Query</t>
  </si>
  <si>
    <t>405</t>
  </si>
  <si>
    <t>Alan Carr</t>
  </si>
  <si>
    <t>Freeze Dryer Trays - New Type</t>
  </si>
  <si>
    <t>406</t>
  </si>
  <si>
    <t>Rovi</t>
  </si>
  <si>
    <t>407</t>
  </si>
  <si>
    <t>Regeneron Limerick</t>
  </si>
  <si>
    <t>Manish Thanvi</t>
  </si>
  <si>
    <t>Steris 680 Sub racks</t>
  </si>
  <si>
    <t>408</t>
  </si>
  <si>
    <t>409</t>
  </si>
  <si>
    <t>ireland</t>
  </si>
  <si>
    <t>Jason McKeever</t>
  </si>
  <si>
    <t>Autoclave shelf</t>
  </si>
  <si>
    <t>410</t>
  </si>
  <si>
    <t>411</t>
  </si>
  <si>
    <t>Malta</t>
  </si>
  <si>
    <t>Blister Layouts IMA TR200 - Update</t>
  </si>
  <si>
    <t>412</t>
  </si>
  <si>
    <t>Gedeon Richter</t>
  </si>
  <si>
    <t>Order for new bushings, ball cages and pillars for Cutting Tools</t>
  </si>
  <si>
    <t>413</t>
  </si>
  <si>
    <t>Blister Layout for IMA TR130</t>
  </si>
  <si>
    <t>414</t>
  </si>
  <si>
    <t>Delpharm</t>
  </si>
  <si>
    <t>Spare parts for NG Drive Unit</t>
  </si>
  <si>
    <t>415</t>
  </si>
  <si>
    <t>Medochemie</t>
  </si>
  <si>
    <t>Blister Layout for CAM M92</t>
  </si>
  <si>
    <t>416</t>
  </si>
  <si>
    <t>Isolator Hooks</t>
  </si>
  <si>
    <t>417</t>
  </si>
  <si>
    <t>Simtra</t>
  </si>
  <si>
    <t>Germany??</t>
  </si>
  <si>
    <t>Paul Grube</t>
  </si>
  <si>
    <t>Inspection booths - Pacing &amp; Continous light measurement - Qty 23</t>
  </si>
  <si>
    <t>418</t>
  </si>
  <si>
    <t>Alan Walsh</t>
  </si>
  <si>
    <t>Weld inspection</t>
  </si>
  <si>
    <t>419</t>
  </si>
  <si>
    <t>Tcoag</t>
  </si>
  <si>
    <t>John McNeilly</t>
  </si>
  <si>
    <t>Filling Needles - B&amp;S</t>
  </si>
  <si>
    <t>420</t>
  </si>
  <si>
    <t>Flow tech</t>
  </si>
  <si>
    <t>Patrick Dolan</t>
  </si>
  <si>
    <t>Bunded Trolley - Qty = 1</t>
  </si>
  <si>
    <t>421</t>
  </si>
  <si>
    <t>ROVI</t>
  </si>
  <si>
    <t>Comparison - MR vs SR</t>
  </si>
  <si>
    <t>422</t>
  </si>
  <si>
    <t>Anthony</t>
  </si>
  <si>
    <t>Rendering - large products in straight line</t>
  </si>
  <si>
    <t>423</t>
  </si>
  <si>
    <t>List all PTFE parts &amp; change to PVDF parts</t>
  </si>
  <si>
    <t>424</t>
  </si>
  <si>
    <t>Louis Moore</t>
  </si>
  <si>
    <t>PFS 2 IMA racks - duplicate needed</t>
  </si>
  <si>
    <t>425</t>
  </si>
  <si>
    <t>Eric Cook</t>
  </si>
  <si>
    <t>Spares - U-shaped spray arm &amp; perf basket</t>
  </si>
  <si>
    <t>426</t>
  </si>
  <si>
    <t>Lifting Trolley - add demo mode - Cant be done</t>
  </si>
  <si>
    <t>427</t>
  </si>
  <si>
    <t>Bioron</t>
  </si>
  <si>
    <t>Aurore Clamens</t>
  </si>
  <si>
    <t>Hose rack IWT W200-120 washer</t>
  </si>
  <si>
    <t>428</t>
  </si>
  <si>
    <t>Mary Browne</t>
  </si>
  <si>
    <t>Isolator Hooks - EM Plate Stands</t>
  </si>
  <si>
    <t>429</t>
  </si>
  <si>
    <t>Trolley</t>
  </si>
  <si>
    <t>430</t>
  </si>
  <si>
    <t>Charles has a project -Base plate - Motorbike</t>
  </si>
  <si>
    <t>431</t>
  </si>
  <si>
    <t>Talandila Ntshonono</t>
  </si>
  <si>
    <t>Trollies - site visit - 30th March</t>
  </si>
  <si>
    <t>432</t>
  </si>
  <si>
    <t>Jonathan Glynn</t>
  </si>
  <si>
    <t>Trolley - Charging I-pads</t>
  </si>
  <si>
    <t>433</t>
  </si>
  <si>
    <t>Tub elevatiing plate - missing dowel</t>
  </si>
  <si>
    <t>434</t>
  </si>
  <si>
    <t>Roche NC</t>
  </si>
  <si>
    <t>mike</t>
  </si>
  <si>
    <t>Steris 680 - Groniger parts</t>
  </si>
  <si>
    <t>435</t>
  </si>
  <si>
    <t>Kevin O'Connor</t>
  </si>
  <si>
    <t>436</t>
  </si>
  <si>
    <t>Aoife Mousley</t>
  </si>
  <si>
    <t>Laser Etch Filter Housings</t>
  </si>
  <si>
    <t>437</t>
  </si>
  <si>
    <t>Charging Dock Station</t>
  </si>
  <si>
    <t>438</t>
  </si>
  <si>
    <t>Daire Crow</t>
  </si>
  <si>
    <t>Autoclave Trolley Shelf</t>
  </si>
  <si>
    <t>439</t>
  </si>
  <si>
    <t>Reservoir Tank - SR needed</t>
  </si>
  <si>
    <t>440</t>
  </si>
  <si>
    <t>duplicate SR - TE43776</t>
  </si>
  <si>
    <t>441</t>
  </si>
  <si>
    <t>FujiFilm</t>
  </si>
  <si>
    <t>Richard Skilbeck</t>
  </si>
  <si>
    <t>Fedegari - quick turn around</t>
  </si>
  <si>
    <t>442</t>
  </si>
  <si>
    <t>443</t>
  </si>
  <si>
    <t>Evan Hasset</t>
  </si>
  <si>
    <t>Zero Block Design and Creation</t>
  </si>
  <si>
    <t>444</t>
  </si>
  <si>
    <t>George Nabil Farid</t>
  </si>
  <si>
    <t>Layouts updated with Print Registration marks</t>
  </si>
  <si>
    <t>445</t>
  </si>
  <si>
    <t>Olivia Gauntlett</t>
  </si>
  <si>
    <t>Perforated Basket x 4</t>
  </si>
  <si>
    <t>446</t>
  </si>
  <si>
    <t>Perf Basket</t>
  </si>
  <si>
    <t>447</t>
  </si>
  <si>
    <t>Parts falling off rack</t>
  </si>
  <si>
    <t>448</t>
  </si>
  <si>
    <t>Michael Vrijs</t>
  </si>
  <si>
    <t>Stopperbowl changes on live project</t>
  </si>
  <si>
    <t>449</t>
  </si>
  <si>
    <t>Alan Stack</t>
  </si>
  <si>
    <t>New Per basket &amp; lid - Urgent - 22nd May</t>
  </si>
  <si>
    <t>450</t>
  </si>
  <si>
    <t>Terance Tan</t>
  </si>
  <si>
    <t>Wash parts in Belimed washer - Call required</t>
  </si>
  <si>
    <t>451</t>
  </si>
  <si>
    <t>Correction/Straightening of robot arm</t>
  </si>
  <si>
    <t>452</t>
  </si>
  <si>
    <t>Stopper Bowl cleaning</t>
  </si>
  <si>
    <t>453</t>
  </si>
  <si>
    <t>Pablo Gomez</t>
  </si>
  <si>
    <t>new project</t>
  </si>
  <si>
    <t>454</t>
  </si>
  <si>
    <t>GSK</t>
  </si>
  <si>
    <t>Raymond Niccolo</t>
  </si>
  <si>
    <t>455</t>
  </si>
  <si>
    <t>Stoppers in Bag - Tool required</t>
  </si>
  <si>
    <t>456</t>
  </si>
  <si>
    <t>New Double rack</t>
  </si>
  <si>
    <t>457</t>
  </si>
  <si>
    <t>MSD Dunboyne</t>
  </si>
  <si>
    <t>Aida Zvinkliene</t>
  </si>
  <si>
    <t>Acc for Autoclave</t>
  </si>
  <si>
    <t>458</t>
  </si>
  <si>
    <t>Modify existing rack</t>
  </si>
  <si>
    <t>459</t>
  </si>
  <si>
    <t>Evan Fitzpatrick</t>
  </si>
  <si>
    <t>Update Titles on drawings</t>
  </si>
  <si>
    <t>460</t>
  </si>
  <si>
    <t>Peter Coleman</t>
  </si>
  <si>
    <t>Trolley Latch</t>
  </si>
  <si>
    <t>461</t>
  </si>
  <si>
    <t>Northern Ireland</t>
  </si>
  <si>
    <t>Scan/Model Unscrambler parts</t>
  </si>
  <si>
    <t>462</t>
  </si>
  <si>
    <t>Scan/Model parts</t>
  </si>
  <si>
    <t>463</t>
  </si>
  <si>
    <t>Al-Razi</t>
  </si>
  <si>
    <t>measure tablets - TE53626/53627</t>
  </si>
  <si>
    <t>464</t>
  </si>
  <si>
    <t>Complete weights of crates</t>
  </si>
  <si>
    <t>465</t>
  </si>
  <si>
    <t>Torque wrench to tighten bag - handle breaking</t>
  </si>
  <si>
    <t>466</t>
  </si>
  <si>
    <t>Merck - Rahway</t>
  </si>
  <si>
    <t>Glove Ports (Quote 234638)</t>
  </si>
  <si>
    <t>467</t>
  </si>
  <si>
    <t>Etee Shishodiya</t>
  </si>
  <si>
    <t>Getinge Washer DUE JUNE 10TH</t>
  </si>
  <si>
    <t>468</t>
  </si>
  <si>
    <t>Sanofi Le Trait</t>
  </si>
  <si>
    <t>Eric</t>
  </si>
  <si>
    <t>Hamo washer &amp; Steelco washer - part A sent 3rd June</t>
  </si>
  <si>
    <t>469</t>
  </si>
  <si>
    <t>China</t>
  </si>
  <si>
    <t>Spares list required</t>
  </si>
  <si>
    <t>470</t>
  </si>
  <si>
    <t>Charles - spring washers</t>
  </si>
  <si>
    <t>471</t>
  </si>
  <si>
    <t>Main rack IWT - TOAD project - Rev B required - TUESDAY 16TH</t>
  </si>
  <si>
    <t>472</t>
  </si>
  <si>
    <t>Abir Gabtni</t>
  </si>
  <si>
    <t>Drying Insertion tube holder</t>
  </si>
  <si>
    <t>473</t>
  </si>
  <si>
    <t>new sub rack required for Ridgefield site</t>
  </si>
  <si>
    <t>474</t>
  </si>
  <si>
    <t>RTP Trollies</t>
  </si>
  <si>
    <t>475</t>
  </si>
  <si>
    <t>Jonathon Martin</t>
  </si>
  <si>
    <t>Castor wheel supplier</t>
  </si>
  <si>
    <t>476</t>
  </si>
  <si>
    <t>2 ACC mods</t>
  </si>
  <si>
    <t>477</t>
  </si>
  <si>
    <t>2 ACC - new</t>
  </si>
  <si>
    <t>478</t>
  </si>
  <si>
    <t>1SR &amp; 1ACC</t>
  </si>
  <si>
    <t>479</t>
  </si>
  <si>
    <t>Daniel O'Leary</t>
  </si>
  <si>
    <t>laser Etch plate stand</t>
  </si>
  <si>
    <t>480</t>
  </si>
  <si>
    <t>mirror parts - track jigs</t>
  </si>
  <si>
    <t>481</t>
  </si>
  <si>
    <t>PDS3 racks revisited</t>
  </si>
  <si>
    <t>482</t>
  </si>
  <si>
    <t>483</t>
  </si>
  <si>
    <t>Peirrick Breitenback</t>
  </si>
  <si>
    <t>484</t>
  </si>
  <si>
    <t>Andrew Delaney</t>
  </si>
  <si>
    <t>LN2 Trolley</t>
  </si>
  <si>
    <t>485</t>
  </si>
  <si>
    <t>CSL Sequirus - Holly Springs</t>
  </si>
  <si>
    <t>NC US</t>
  </si>
  <si>
    <t>Matthew McAnulty</t>
  </si>
  <si>
    <t>Steris 680 - multiple existing loads - quicker lead times DUE JUNE 12TH</t>
  </si>
  <si>
    <t>486</t>
  </si>
  <si>
    <t>Pfizer NB</t>
  </si>
  <si>
    <t>Mick Gorey</t>
  </si>
  <si>
    <t>Scan guide rails</t>
  </si>
  <si>
    <t>487</t>
  </si>
  <si>
    <t>NGS Engineering</t>
  </si>
  <si>
    <t>Cian Hogan</t>
  </si>
  <si>
    <t>punched baskets - possible supplier</t>
  </si>
  <si>
    <t>488</t>
  </si>
  <si>
    <t>Scan Ferulle piece and plastic funnel</t>
  </si>
  <si>
    <t>489</t>
  </si>
  <si>
    <t>Starwheel broken - 100ml</t>
  </si>
  <si>
    <t>490</t>
  </si>
  <si>
    <t>Willism Kress</t>
  </si>
  <si>
    <t>Format parts for filling line - Gronninger</t>
  </si>
  <si>
    <t>491</t>
  </si>
  <si>
    <t>Kori Leckey</t>
  </si>
  <si>
    <t>TCAR adjustments</t>
  </si>
  <si>
    <t>492</t>
  </si>
  <si>
    <t>Nozzle for Charlie</t>
  </si>
  <si>
    <t>493</t>
  </si>
  <si>
    <t>Replacement parts for pots</t>
  </si>
  <si>
    <t>494</t>
  </si>
  <si>
    <t>Moderna Norwood</t>
  </si>
  <si>
    <t>Pooling on suction parts - MW job</t>
  </si>
  <si>
    <t>495</t>
  </si>
  <si>
    <t>Sudair</t>
  </si>
  <si>
    <t>Issue with Format parts - between two station</t>
  </si>
  <si>
    <t>496</t>
  </si>
  <si>
    <t>NG Feeder - Two products</t>
  </si>
  <si>
    <t>497</t>
  </si>
  <si>
    <t>Selecting larger washer Versus Steris 480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</si>
  <si>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</si>
  <si>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</si>
  <si>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</si>
  <si>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</si>
  <si>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</si>
  <si>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</si>
  <si>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</si>
  <si>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</si>
  <si>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</si>
  <si>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</si>
  <si>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Total Hours</t>
  </si>
  <si>
    <t>Pre-Sales Concepts</t>
  </si>
  <si>
    <t>https://rackandshelf.com/product/storage-products/automotive/automotive-containers/collapsible-steel-containers/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</si>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</sst>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"/>
      <family val="2"/>
    </font>
    <font>
      <sz val="11"/>
      <color theme="1"/>
      <name val="Aptos"/>
      <family val="2"/>
    </font>
    <font>
      <sz val="11"/>
      <color theme="1"/>
      <name val="Calibri"/>
      <family val="2"/>
    </font>
    <font>
      <sz val="12"/>
      <color rgb="FF000000"/>
      <name val="Aptos"/>
      <family val="2"/>
    </font>
    <font>
      <sz val="1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0" borderId="1" xfId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4" fillId="0" borderId="1" xfId="0" applyFont="1" applyBorder="1" applyAlignment="1">
      <alignment horizontal="left" vertical="center" indent="1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164" fontId="0" fillId="0" borderId="0" xfId="0" applyNumberFormat="1"/>
    <xf numFmtId="0" fontId="0" fillId="8" borderId="0" xfId="0" applyFill="1" applyAlignment="1">
      <alignment horizontal="center"/>
    </xf>
    <xf numFmtId="0" fontId="2" fillId="0" borderId="1" xfId="1" applyBorder="1" applyAlignment="1">
      <alignment horizontal="center" wrapText="1"/>
    </xf>
    <xf numFmtId="0" fontId="5" fillId="0" borderId="0" xfId="0" applyFont="1"/>
    <xf numFmtId="0" fontId="6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0" fillId="5" borderId="2" xfId="0" applyFill="1" applyBorder="1" applyAlignment="1">
      <alignment horizontal="center"/>
    </xf>
    <xf numFmtId="164" fontId="0" fillId="5" borderId="1" xfId="0" applyNumberFormat="1" applyFill="1" applyBorder="1"/>
    <xf numFmtId="0" fontId="2" fillId="0" borderId="0" xfId="1" applyAlignment="1">
      <alignment horizontal="center"/>
    </xf>
    <xf numFmtId="0" fontId="10" fillId="0" borderId="1" xfId="0" applyFont="1" applyBorder="1" applyAlignment="1">
      <alignment horizontal="center"/>
    </xf>
    <xf numFmtId="0" fontId="2" fillId="2" borderId="0" xfId="1" applyFill="1" applyAlignment="1">
      <alignment horizontal="center"/>
    </xf>
    <xf numFmtId="0" fontId="9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6">
    <dxf>
      <font>
        <b/>
        <i val="0"/>
        <color rgb="FF00B050"/>
      </font>
    </dxf>
    <dxf>
      <font>
        <b/>
        <i val="0"/>
        <strike val="0"/>
      </font>
      <fill>
        <patternFill>
          <bgColor rgb="FF92D05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</dxf>
    <dxf>
      <font>
        <b/>
        <i val="0"/>
        <strike val="0"/>
      </font>
      <fill>
        <patternFill>
          <bgColor rgb="FF92D05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</dxf>
    <dxf>
      <font>
        <b/>
        <i val="0"/>
        <strike val="0"/>
      </font>
      <fill>
        <patternFill>
          <bgColor rgb="FF92D050"/>
        </patternFill>
      </fill>
      <border>
        <vertical/>
        <horizontal/>
      </border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</dxf>
    <dxf>
      <font>
        <b/>
        <i val="0"/>
        <strike val="0"/>
      </font>
      <fill>
        <patternFill>
          <bgColor rgb="FF92D050"/>
        </patternFill>
      </fill>
      <border>
        <vertical/>
        <horizontal/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Techical Sales - Project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66522392076294"/>
          <c:y val="0.11211285589952749"/>
          <c:w val="0.80051099578560503"/>
          <c:h val="0.8340406736580895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'Tech sales'!$S$517:$S$523</c:f>
              <c:strCache>
                <c:ptCount val="7"/>
                <c:pt idx="0">
                  <c:v>In Design</c:v>
                </c:pt>
                <c:pt idx="1">
                  <c:v>Await customer</c:v>
                </c:pt>
                <c:pt idx="2">
                  <c:v>Quote required</c:v>
                </c:pt>
                <c:pt idx="3">
                  <c:v>Quote sent</c:v>
                </c:pt>
                <c:pt idx="4">
                  <c:v>Concept sent</c:v>
                </c:pt>
                <c:pt idx="5">
                  <c:v>PO due in</c:v>
                </c:pt>
                <c:pt idx="6">
                  <c:v>Total</c:v>
                </c:pt>
              </c:strCache>
            </c:strRef>
          </c:cat>
          <c:val>
            <c:numRef>
              <c:f>'Tech sales'!$T$517:$T$523</c:f>
              <c:numCache>
                <c:formatCode>General</c:formatCode>
                <c:ptCount val="7"/>
                <c:pt idx="0">
                  <c:v>25</c:v>
                </c:pt>
                <c:pt idx="1">
                  <c:v>38</c:v>
                </c:pt>
                <c:pt idx="2">
                  <c:v>60</c:v>
                </c:pt>
                <c:pt idx="3">
                  <c:v>169</c:v>
                </c:pt>
                <c:pt idx="4">
                  <c:v>108</c:v>
                </c:pt>
                <c:pt idx="5">
                  <c:v>97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71-4A27-A1EA-67C3AE4AB6F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03491055"/>
        <c:axId val="1603489135"/>
      </c:barChart>
      <c:catAx>
        <c:axId val="1603491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489135"/>
        <c:crosses val="autoZero"/>
        <c:auto val="1"/>
        <c:lblAlgn val="ctr"/>
        <c:lblOffset val="100"/>
        <c:noMultiLvlLbl val="0"/>
      </c:catAx>
      <c:valAx>
        <c:axId val="16034891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491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311615</xdr:colOff>
      <xdr:row>375</xdr:row>
      <xdr:rowOff>12211</xdr:rowOff>
    </xdr:from>
    <xdr:to>
      <xdr:col>26</xdr:col>
      <xdr:colOff>501374</xdr:colOff>
      <xdr:row>402</xdr:row>
      <xdr:rowOff>85829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436B57-578D-4562-8A8F-C75404291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file:///\\tegfs\cad$\Farmea%20-%20Pau%20-%20France\Concepts\001%20-%20Washer%20Rack%20-%20Getinge%20GEW%20787-2%20-%20Nov%202024" TargetMode="External"/><Relationship Id="rId18" Type="http://schemas.openxmlformats.org/officeDocument/2006/relationships/hyperlink" Target="file:///\\tegfs\cad$\Chanelle\Diosna%20Site%20visit%20-%2030-Jan-2025\Valmatic%20Machine%20Top%20Support%20Strap%20Project\Valmatic%20Strap%20-%20Draft.pdf" TargetMode="External"/><Relationship Id="rId26" Type="http://schemas.openxmlformats.org/officeDocument/2006/relationships/hyperlink" Target="file:///\\tegfs\cad$\Alkermes\Concept%20-%20Graduated%20Measuring%20Guides" TargetMode="External"/><Relationship Id="rId3" Type="http://schemas.openxmlformats.org/officeDocument/2006/relationships/hyperlink" Target="file:///\\tegfs\cad$\GSK%20-%20Singapore\Concepts\001%20-%20Belimed%20860%20-%20Jan%202025\Customer%20parts" TargetMode="External"/><Relationship Id="rId21" Type="http://schemas.openxmlformats.org/officeDocument/2006/relationships/hyperlink" Target="file:///\\tegfs\cad$\Amgen\Concept\AA%20-%20Washer%20racks\001%20-%20Sep%202024\Parts%20list\Amgen%20Ireland%20-%20C02018%20Parts%20Washer%20-%20TEG%20Part%20List_RevB.xlsx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file:///\\tegfs\cad$\IPS%20-%20US\Concept\001%20-%20Pippette%20-%20belimed%20820%20-%20Dec%202024" TargetMode="External"/><Relationship Id="rId12" Type="http://schemas.openxmlformats.org/officeDocument/2006/relationships/hyperlink" Target="file:///\\tegfs\cad$\Almac%20-%20Dublin\Concepts\001%20-%20Freezer%20Storage%20-%20Nov%202024" TargetMode="External"/><Relationship Id="rId17" Type="http://schemas.openxmlformats.org/officeDocument/2006/relationships/hyperlink" Target="file:///\\tegfs\cad$\Chanelle\Diosna%20Site%20visit%20-%2030-Jan-2025\Mixer%20Frame%20Leg%20Extensions\Extension%20leg%20-%20ASM%20Rev%20A%20DRAFT.pdf" TargetMode="External"/><Relationship Id="rId25" Type="http://schemas.openxmlformats.org/officeDocument/2006/relationships/hyperlink" Target="file:///\\tegfs\cad$\Chanelle\concepts\Sean%20Jones\52446%20-%20Drum%20Tap%20316%20SS" TargetMode="External"/><Relationship Id="rId33" Type="http://schemas.openxmlformats.org/officeDocument/2006/relationships/hyperlink" Target="file:///\\tegfs\CAD$\Chanelle\52938%20-%20NG%20Feeder%20Assembly%20Transport%20Trolley" TargetMode="External"/><Relationship Id="rId2" Type="http://schemas.openxmlformats.org/officeDocument/2006/relationships/hyperlink" Target="file:///\\tegfs\cad$\Ipsen%20-%20Signes%20-%20France\Concepts\002%20%20-%20IWT%20Washer%20%20-%20Jan%202025" TargetMode="External"/><Relationship Id="rId16" Type="http://schemas.openxmlformats.org/officeDocument/2006/relationships/hyperlink" Target="file:///\\tegfs\cad$\Norbrook\Site%20Visit%20-%2021-01-2025%20Suit%203" TargetMode="External"/><Relationship Id="rId20" Type="http://schemas.openxmlformats.org/officeDocument/2006/relationships/hyperlink" Target="file:///\\tegfs\cad$\Norbrook\Concept\004%20-%20500ml%20Squat%20Line\E%20-%20Existing%20Format%20Parts\500ml%20Squat%20Format%20Parts" TargetMode="External"/><Relationship Id="rId29" Type="http://schemas.openxmlformats.org/officeDocument/2006/relationships/hyperlink" Target="https://rackandshelf.com/product/storage-products/automotive/automotive-containers/collapsible-steel-containers/" TargetMode="External"/><Relationship Id="rId1" Type="http://schemas.openxmlformats.org/officeDocument/2006/relationships/hyperlink" Target="file:///\\tegfs\cad$\Thermo%20Fisher%20-%20Greenville%20-%20NC\concept\013%20-%20Thermofisher%20-%20Cannister%20Rack%20Request%20-%20Dec%202024" TargetMode="External"/><Relationship Id="rId6" Type="http://schemas.openxmlformats.org/officeDocument/2006/relationships/hyperlink" Target="file:///\\tegfs\cad$\Eli%20Lilly%20-%20France\Concept\001%20-%20Steelco%20Washer%20-%20Jan%202025" TargetMode="External"/><Relationship Id="rId11" Type="http://schemas.openxmlformats.org/officeDocument/2006/relationships/hyperlink" Target="file:///\\tegfs\cad$\Regeneron%20-%20Limerick\concepts\011%20-%20Coverage%20Analysis%20-%20Hepa%20Filter" TargetMode="External"/><Relationship Id="rId24" Type="http://schemas.openxmlformats.org/officeDocument/2006/relationships/hyperlink" Target="file:///\\tegfs\cad$\Amgen\Concept\AA%20-%20Washer%20racks\002%20-%20March%202025\Insertion%20tube%20holder%20accessories" TargetMode="External"/><Relationship Id="rId32" Type="http://schemas.openxmlformats.org/officeDocument/2006/relationships/hyperlink" Target="file:///\\tegfs\CAD$\Alkermes\Concept%20for%20ALKS-2680" TargetMode="External"/><Relationship Id="rId5" Type="http://schemas.openxmlformats.org/officeDocument/2006/relationships/hyperlink" Target="file:///\\tegfs\cad$\Moderna%20-%20Norwood\Concept\003%20-%20Stopper%20Bowls%20-%20Orientation%20and%20Fit" TargetMode="External"/><Relationship Id="rId15" Type="http://schemas.openxmlformats.org/officeDocument/2006/relationships/hyperlink" Target="file:///\\tegfs\cad$\Amgen%20-%20North%20Carolina\Concept\001%20-%20Probe%20Covers%20-%20same%20design%20as%20Rhode%20Island" TargetMode="External"/><Relationship Id="rId23" Type="http://schemas.openxmlformats.org/officeDocument/2006/relationships/hyperlink" Target="file:///\\tegfs\cad$\Amgen\Concept\AA%20-%20Washer%20racks\001%20-%20Sep%202024\Layout\Amgen%20-%20CO2018%20Washer%20racks%20concept%20-%20RevB.pdf" TargetMode="External"/><Relationship Id="rId28" Type="http://schemas.openxmlformats.org/officeDocument/2006/relationships/hyperlink" Target="file:///\\tegfs\cad$\Thermo%20Fisher%20-%20Greenville%20-%20NC\concept\018%20-%20Thermofisher%20-%20New%20Accessorys%20-%20July%202025" TargetMode="External"/><Relationship Id="rId10" Type="http://schemas.openxmlformats.org/officeDocument/2006/relationships/hyperlink" Target="file:///\\tegfs\cad$\Amgen\Concept\Karl%20O'Sullivan\IVFL%20Stopper%20Bowl%20Autoclave%20Tray" TargetMode="External"/><Relationship Id="rId19" Type="http://schemas.openxmlformats.org/officeDocument/2006/relationships/hyperlink" Target="file:///\\tegfs\cad$\Norbrook\Concept\004%20-%20500ml%20Squat%20Line\E%20-%20Existing%20Format%20Parts\500ml%20(Tall)%20Format%20Parts" TargetMode="External"/><Relationship Id="rId31" Type="http://schemas.openxmlformats.org/officeDocument/2006/relationships/hyperlink" Target="file:///\\tegfs\Design%20Templates$\Uhlmann\B1240\Tjoapack%20-%20Netherlands" TargetMode="External"/><Relationship Id="rId4" Type="http://schemas.openxmlformats.org/officeDocument/2006/relationships/hyperlink" Target="file:///\\tegfs\cad$\Moderna%20-%20Norwood\Concept\002%20-%20Storage%20trolleys%20-%20Dec%202024" TargetMode="External"/><Relationship Id="rId9" Type="http://schemas.openxmlformats.org/officeDocument/2006/relationships/hyperlink" Target="file:///\\tegfs\cad$\Alexion\Concepts\Conor%20Slevin\Format%20Part%20-%20Jan%202024" TargetMode="External"/><Relationship Id="rId14" Type="http://schemas.openxmlformats.org/officeDocument/2006/relationships/hyperlink" Target="file:///\\tegfs\cad$\Farmea%20-%20Angers%20-%20France\Concepts\001%20-%20Washer%20Rack%20-%20Hamo%20420%20-%20Oct%202024" TargetMode="External"/><Relationship Id="rId22" Type="http://schemas.openxmlformats.org/officeDocument/2006/relationships/hyperlink" Target="file:///\\tegfs\cad$\MSD%20Swords\concepts\009%20-%20Additional%20Filter%20Housing%20for%20Sub%20Rack%2010%20TE46211\Presentation\MSD%20Swords%20-%20Spray%20Ball%20Accessory%20-%20rev%20A.pptx" TargetMode="External"/><Relationship Id="rId27" Type="http://schemas.openxmlformats.org/officeDocument/2006/relationships/hyperlink" Target="file:///\\tegfs\CAD$\Chanelle\49205%20-%20Valmatic%20Pre%20Forming%20Mounting%20Blocks%20LHS%20&amp;%20RHS%20-Upgraded%20Design" TargetMode="External"/><Relationship Id="rId30" Type="http://schemas.openxmlformats.org/officeDocument/2006/relationships/hyperlink" Target="file:///\\tegfs\CAD$\Alkermes\Concept%20for%20ALKS-2680" TargetMode="External"/><Relationship Id="rId35" Type="http://schemas.openxmlformats.org/officeDocument/2006/relationships/drawing" Target="../drawings/drawing1.xml"/><Relationship Id="rId8" Type="http://schemas.openxmlformats.org/officeDocument/2006/relationships/hyperlink" Target="file:///\\tegfs\cad$\Alexion\Concepts\Conor%20Slevin\Scroll%20Support%20-%20Jan%20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838B7-B1A9-4132-8DD2-104B5616C869}">
  <sheetPr codeName="Sheet1"/>
  <dimension ref="A1:X523"/>
  <sheetViews>
    <sheetView tabSelected="1" zoomScale="92" zoomScaleNormal="92" workbookViewId="0">
      <pane xSplit="7" ySplit="3" topLeftCell="H456" activePane="bottomRight" state="frozen"/>
      <selection pane="topRight" activeCell="H1" sqref="H1"/>
      <selection pane="bottomLeft" activeCell="A4" sqref="A4"/>
      <selection pane="bottomRight" activeCell="U461" sqref="U461"/>
    </sheetView>
  </sheetViews>
  <sheetFormatPr defaultRowHeight="15" x14ac:dyDescent="0.25"/>
  <cols>
    <col min="1" max="1" width="8.7109375" style="1"/>
    <col min="2" max="2" width="14.42578125" style="1" bestFit="1" customWidth="1"/>
    <col min="3" max="3" width="13.42578125" style="1" bestFit="1" customWidth="1"/>
    <col min="4" max="4" width="13.5703125" style="1" customWidth="1"/>
    <col min="5" max="5" width="23.42578125" style="1" bestFit="1" customWidth="1"/>
    <col min="6" max="6" width="12.5703125" style="1" customWidth="1"/>
    <col min="7" max="7" width="15.42578125" style="1" bestFit="1" customWidth="1"/>
    <col min="8" max="8" width="19.5703125" style="1" customWidth="1"/>
    <col min="9" max="9" width="15.5703125" style="1" customWidth="1"/>
    <col min="10" max="10" width="55.5703125" style="2" customWidth="1"/>
    <col min="11" max="11" width="17.42578125" style="2" customWidth="1"/>
    <col min="12" max="12" width="18" style="1" customWidth="1"/>
    <col min="13" max="14" width="20.5703125" style="1" customWidth="1"/>
    <col min="15" max="15" width="13.5703125" style="1" bestFit="1" customWidth="1"/>
    <col min="16" max="16" width="14.140625" style="1" bestFit="1" customWidth="1"/>
    <col min="17" max="17" width="14.42578125" style="1" customWidth="1"/>
    <col min="18" max="18" width="16.42578125" customWidth="1"/>
    <col min="19" max="19" width="14" bestFit="1" customWidth="1"/>
    <col min="20" max="20" width="10.5703125" style="1" bestFit="1" customWidth="1"/>
    <col min="21" max="21" width="16.42578125" style="1" customWidth="1"/>
    <col min="22" max="22" width="19.42578125" style="1" bestFit="1" customWidth="1"/>
    <col min="23" max="23" width="14.42578125" style="1" bestFit="1" customWidth="1"/>
    <col min="24" max="24" width="11.42578125" style="1" customWidth="1"/>
  </cols>
  <sheetData>
    <row r="1" spans="1:24" x14ac:dyDescent="0.25">
      <c r="A1" s="40" t="s">
        <v>0</v>
      </c>
      <c r="B1" s="40"/>
    </row>
    <row r="3" spans="1:24" s="8" customFormat="1" ht="75" x14ac:dyDescent="0.3">
      <c r="A3" s="3"/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6" t="s">
        <v>9</v>
      </c>
      <c r="K3" s="6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7"/>
      <c r="T3" s="5" t="s">
        <v>2</v>
      </c>
      <c r="U3" s="5" t="s">
        <v>8</v>
      </c>
      <c r="V3" s="5" t="s">
        <v>11</v>
      </c>
      <c r="W3" s="5" t="s">
        <v>15</v>
      </c>
      <c r="X3" s="5" t="s">
        <v>14</v>
      </c>
    </row>
    <row r="4" spans="1:24" x14ac:dyDescent="0.25">
      <c r="B4" s="9" t="s">
        <v>18</v>
      </c>
      <c r="C4" s="10" t="s">
        <v>19</v>
      </c>
      <c r="D4" s="11">
        <v>45582</v>
      </c>
      <c r="E4" s="10" t="s">
        <v>20</v>
      </c>
      <c r="F4" s="10" t="s">
        <v>21</v>
      </c>
      <c r="G4" s="10" t="s">
        <v>22</v>
      </c>
      <c r="H4" s="10"/>
      <c r="I4" s="10" t="s">
        <v>23</v>
      </c>
      <c r="J4" s="12" t="s">
        <v>24</v>
      </c>
      <c r="K4" s="13" t="s">
        <v>25</v>
      </c>
      <c r="L4" s="10" t="s">
        <v>26</v>
      </c>
      <c r="M4" s="11">
        <f>D4+7</f>
        <v>45589</v>
      </c>
      <c r="N4" s="11"/>
      <c r="O4" s="10" t="s">
        <v>27</v>
      </c>
      <c r="P4" s="10" t="s">
        <v>28</v>
      </c>
      <c r="Q4" s="10"/>
      <c r="R4" s="14">
        <v>3</v>
      </c>
      <c r="T4" s="15" t="s">
        <v>29</v>
      </c>
      <c r="U4" s="15" t="s">
        <v>23</v>
      </c>
      <c r="V4" s="15" t="s">
        <v>30</v>
      </c>
      <c r="W4" s="15" t="s">
        <v>31</v>
      </c>
      <c r="X4" s="15" t="s">
        <v>27</v>
      </c>
    </row>
    <row r="5" spans="1:24" x14ac:dyDescent="0.25">
      <c r="B5" s="9" t="s">
        <v>32</v>
      </c>
      <c r="C5" s="10" t="s">
        <v>19</v>
      </c>
      <c r="D5" s="11">
        <v>45582</v>
      </c>
      <c r="E5" s="10" t="s">
        <v>33</v>
      </c>
      <c r="F5" s="10" t="s">
        <v>34</v>
      </c>
      <c r="G5" s="10" t="s">
        <v>22</v>
      </c>
      <c r="H5" s="10"/>
      <c r="I5" s="10" t="s">
        <v>23</v>
      </c>
      <c r="J5" s="12"/>
      <c r="K5" s="13" t="s">
        <v>25</v>
      </c>
      <c r="L5" s="10" t="s">
        <v>26</v>
      </c>
      <c r="M5" s="10"/>
      <c r="N5" s="10"/>
      <c r="O5" s="10" t="s">
        <v>27</v>
      </c>
      <c r="P5" s="10" t="s">
        <v>28</v>
      </c>
      <c r="Q5" s="10"/>
      <c r="R5" s="14">
        <v>4</v>
      </c>
      <c r="T5" s="15" t="s">
        <v>35</v>
      </c>
      <c r="U5" s="15" t="s">
        <v>36</v>
      </c>
      <c r="V5" s="15" t="s">
        <v>37</v>
      </c>
      <c r="W5" s="15" t="s">
        <v>38</v>
      </c>
      <c r="X5" s="15" t="s">
        <v>39</v>
      </c>
    </row>
    <row r="6" spans="1:24" x14ac:dyDescent="0.25">
      <c r="B6" s="9" t="s">
        <v>40</v>
      </c>
      <c r="C6" s="10" t="s">
        <v>19</v>
      </c>
      <c r="D6" s="11">
        <v>45582</v>
      </c>
      <c r="E6" s="10" t="s">
        <v>41</v>
      </c>
      <c r="F6" s="10" t="s">
        <v>42</v>
      </c>
      <c r="G6" s="10" t="s">
        <v>22</v>
      </c>
      <c r="H6" s="10"/>
      <c r="I6" s="10" t="s">
        <v>23</v>
      </c>
      <c r="J6" s="12"/>
      <c r="K6" s="13" t="s">
        <v>25</v>
      </c>
      <c r="L6" s="10" t="s">
        <v>26</v>
      </c>
      <c r="M6" s="10"/>
      <c r="N6" s="10"/>
      <c r="O6" s="10" t="s">
        <v>27</v>
      </c>
      <c r="P6" s="10" t="s">
        <v>28</v>
      </c>
      <c r="Q6" s="10"/>
      <c r="R6" s="14">
        <v>1</v>
      </c>
      <c r="T6" s="15" t="s">
        <v>19</v>
      </c>
      <c r="U6" s="15" t="s">
        <v>43</v>
      </c>
      <c r="V6" s="15" t="s">
        <v>44</v>
      </c>
      <c r="W6" s="15" t="s">
        <v>45</v>
      </c>
      <c r="X6" s="15" t="s">
        <v>46</v>
      </c>
    </row>
    <row r="7" spans="1:24" x14ac:dyDescent="0.25">
      <c r="B7" s="9" t="s">
        <v>47</v>
      </c>
      <c r="C7" s="10" t="s">
        <v>19</v>
      </c>
      <c r="D7" s="11">
        <v>45582</v>
      </c>
      <c r="E7" s="10" t="s">
        <v>48</v>
      </c>
      <c r="F7" s="10" t="s">
        <v>21</v>
      </c>
      <c r="G7" s="10" t="s">
        <v>22</v>
      </c>
      <c r="H7" s="10"/>
      <c r="I7" s="10" t="s">
        <v>23</v>
      </c>
      <c r="J7" s="12"/>
      <c r="K7" s="13" t="s">
        <v>25</v>
      </c>
      <c r="L7" s="10" t="s">
        <v>26</v>
      </c>
      <c r="M7" s="10"/>
      <c r="N7" s="10"/>
      <c r="O7" s="10" t="s">
        <v>27</v>
      </c>
      <c r="P7" s="10" t="s">
        <v>28</v>
      </c>
      <c r="Q7" s="10"/>
      <c r="R7" s="14">
        <v>1</v>
      </c>
      <c r="T7" s="15" t="s">
        <v>49</v>
      </c>
      <c r="U7" s="15" t="s">
        <v>50</v>
      </c>
      <c r="V7" s="15" t="s">
        <v>51</v>
      </c>
      <c r="W7" s="15" t="s">
        <v>28</v>
      </c>
      <c r="X7" s="15" t="s">
        <v>52</v>
      </c>
    </row>
    <row r="8" spans="1:24" x14ac:dyDescent="0.25">
      <c r="B8" s="9" t="s">
        <v>53</v>
      </c>
      <c r="C8" s="10" t="s">
        <v>19</v>
      </c>
      <c r="D8" s="11">
        <v>45582</v>
      </c>
      <c r="E8" s="10" t="s">
        <v>54</v>
      </c>
      <c r="F8" s="10" t="s">
        <v>55</v>
      </c>
      <c r="G8" s="10" t="s">
        <v>22</v>
      </c>
      <c r="H8" s="10"/>
      <c r="I8" s="10" t="s">
        <v>23</v>
      </c>
      <c r="J8" s="12"/>
      <c r="K8" s="13" t="s">
        <v>25</v>
      </c>
      <c r="L8" s="10" t="s">
        <v>26</v>
      </c>
      <c r="M8" s="10"/>
      <c r="N8" s="10"/>
      <c r="O8" s="10" t="s">
        <v>27</v>
      </c>
      <c r="P8" s="10" t="s">
        <v>28</v>
      </c>
      <c r="Q8" s="10"/>
      <c r="R8" s="14">
        <v>1</v>
      </c>
      <c r="T8" s="16"/>
      <c r="U8" s="15" t="s">
        <v>56</v>
      </c>
      <c r="V8" s="15" t="s">
        <v>57</v>
      </c>
      <c r="W8" s="15" t="s">
        <v>58</v>
      </c>
      <c r="X8" s="15" t="s">
        <v>59</v>
      </c>
    </row>
    <row r="9" spans="1:24" x14ac:dyDescent="0.25">
      <c r="B9" s="9" t="s">
        <v>60</v>
      </c>
      <c r="C9" s="10" t="s">
        <v>19</v>
      </c>
      <c r="D9" s="11">
        <v>45582</v>
      </c>
      <c r="E9" s="10" t="s">
        <v>61</v>
      </c>
      <c r="F9" s="10" t="s">
        <v>62</v>
      </c>
      <c r="G9" s="10" t="s">
        <v>22</v>
      </c>
      <c r="H9" s="10"/>
      <c r="I9" s="10" t="s">
        <v>23</v>
      </c>
      <c r="J9" s="12"/>
      <c r="K9" s="13" t="s">
        <v>25</v>
      </c>
      <c r="L9" s="10" t="s">
        <v>26</v>
      </c>
      <c r="M9" s="10"/>
      <c r="N9" s="10"/>
      <c r="O9" s="10" t="s">
        <v>27</v>
      </c>
      <c r="P9" s="10" t="s">
        <v>58</v>
      </c>
      <c r="Q9" s="10"/>
      <c r="R9" s="14">
        <v>1</v>
      </c>
      <c r="T9" s="16"/>
      <c r="U9" s="15" t="s">
        <v>63</v>
      </c>
      <c r="V9" s="15" t="s">
        <v>64</v>
      </c>
      <c r="W9" s="15" t="s">
        <v>65</v>
      </c>
      <c r="X9" s="16"/>
    </row>
    <row r="10" spans="1:24" x14ac:dyDescent="0.25">
      <c r="B10" s="9" t="s">
        <v>66</v>
      </c>
      <c r="C10" s="10" t="s">
        <v>19</v>
      </c>
      <c r="D10" s="11">
        <v>45582</v>
      </c>
      <c r="E10" s="10" t="s">
        <v>67</v>
      </c>
      <c r="F10" s="10" t="s">
        <v>42</v>
      </c>
      <c r="G10" s="10" t="s">
        <v>22</v>
      </c>
      <c r="H10" s="10"/>
      <c r="I10" s="10" t="s">
        <v>23</v>
      </c>
      <c r="J10" s="12"/>
      <c r="K10" s="13" t="s">
        <v>25</v>
      </c>
      <c r="L10" s="10" t="s">
        <v>26</v>
      </c>
      <c r="M10" s="10"/>
      <c r="N10" s="10"/>
      <c r="O10" s="10" t="s">
        <v>27</v>
      </c>
      <c r="P10" s="10" t="s">
        <v>58</v>
      </c>
      <c r="Q10" s="10"/>
      <c r="R10" s="14">
        <v>1</v>
      </c>
      <c r="T10" s="16"/>
      <c r="U10" s="15" t="s">
        <v>68</v>
      </c>
      <c r="V10" s="15" t="s">
        <v>69</v>
      </c>
      <c r="W10" s="16"/>
      <c r="X10" s="16"/>
    </row>
    <row r="11" spans="1:24" x14ac:dyDescent="0.25">
      <c r="B11" s="9" t="s">
        <v>70</v>
      </c>
      <c r="C11" s="10" t="s">
        <v>19</v>
      </c>
      <c r="D11" s="11">
        <v>45582</v>
      </c>
      <c r="E11" s="10" t="s">
        <v>71</v>
      </c>
      <c r="F11" s="10"/>
      <c r="G11" s="10" t="s">
        <v>22</v>
      </c>
      <c r="H11" s="10"/>
      <c r="I11" s="10" t="s">
        <v>23</v>
      </c>
      <c r="J11" s="12"/>
      <c r="K11" s="13" t="s">
        <v>25</v>
      </c>
      <c r="L11" s="10" t="s">
        <v>26</v>
      </c>
      <c r="M11" s="10"/>
      <c r="N11" s="10"/>
      <c r="O11" s="10" t="s">
        <v>27</v>
      </c>
      <c r="P11" s="10" t="s">
        <v>28</v>
      </c>
      <c r="Q11" s="10"/>
      <c r="R11" s="14">
        <v>1</v>
      </c>
      <c r="T11" s="16"/>
      <c r="U11" s="15" t="s">
        <v>72</v>
      </c>
      <c r="V11" s="15" t="s">
        <v>73</v>
      </c>
      <c r="W11" s="16"/>
      <c r="X11" s="16"/>
    </row>
    <row r="12" spans="1:24" x14ac:dyDescent="0.25">
      <c r="B12" s="9" t="s">
        <v>74</v>
      </c>
      <c r="C12" s="10" t="s">
        <v>19</v>
      </c>
      <c r="D12" s="11">
        <v>45582</v>
      </c>
      <c r="E12" s="10" t="s">
        <v>71</v>
      </c>
      <c r="F12" s="10"/>
      <c r="G12" s="10" t="s">
        <v>22</v>
      </c>
      <c r="H12" s="10"/>
      <c r="I12" s="10" t="s">
        <v>23</v>
      </c>
      <c r="J12" s="12"/>
      <c r="K12" s="13" t="s">
        <v>25</v>
      </c>
      <c r="L12" s="10" t="s">
        <v>26</v>
      </c>
      <c r="M12" s="10"/>
      <c r="N12" s="10"/>
      <c r="O12" s="10" t="s">
        <v>27</v>
      </c>
      <c r="P12" s="10" t="s">
        <v>28</v>
      </c>
      <c r="Q12" s="10"/>
      <c r="R12" s="14">
        <v>1</v>
      </c>
      <c r="T12" s="16"/>
      <c r="U12" s="16"/>
      <c r="V12" s="15" t="s">
        <v>75</v>
      </c>
      <c r="W12" s="16"/>
      <c r="X12" s="16"/>
    </row>
    <row r="13" spans="1:24" x14ac:dyDescent="0.25">
      <c r="B13" s="9" t="s">
        <v>76</v>
      </c>
      <c r="C13" s="10" t="s">
        <v>19</v>
      </c>
      <c r="D13" s="11">
        <v>45582</v>
      </c>
      <c r="E13" s="10" t="s">
        <v>77</v>
      </c>
      <c r="F13" s="10"/>
      <c r="G13" s="10" t="s">
        <v>22</v>
      </c>
      <c r="H13" s="10"/>
      <c r="I13" s="10" t="s">
        <v>23</v>
      </c>
      <c r="J13" s="12" t="s">
        <v>78</v>
      </c>
      <c r="K13" s="13" t="s">
        <v>25</v>
      </c>
      <c r="L13" s="10" t="s">
        <v>26</v>
      </c>
      <c r="M13" s="10"/>
      <c r="N13" s="10"/>
      <c r="O13" s="10" t="s">
        <v>27</v>
      </c>
      <c r="P13" s="10" t="s">
        <v>58</v>
      </c>
      <c r="Q13" s="10"/>
      <c r="R13" s="14">
        <v>1</v>
      </c>
      <c r="T13" s="16"/>
      <c r="U13" s="16"/>
      <c r="V13" s="15" t="s">
        <v>79</v>
      </c>
      <c r="W13" s="16"/>
      <c r="X13" s="16"/>
    </row>
    <row r="14" spans="1:24" x14ac:dyDescent="0.25">
      <c r="B14" s="9" t="s">
        <v>80</v>
      </c>
      <c r="C14" s="10" t="s">
        <v>19</v>
      </c>
      <c r="D14" s="11">
        <v>45582</v>
      </c>
      <c r="E14" s="10" t="s">
        <v>81</v>
      </c>
      <c r="F14" s="10"/>
      <c r="G14" s="10" t="s">
        <v>22</v>
      </c>
      <c r="H14" s="10"/>
      <c r="I14" s="10" t="s">
        <v>23</v>
      </c>
      <c r="J14" s="12" t="s">
        <v>82</v>
      </c>
      <c r="K14" s="13" t="s">
        <v>25</v>
      </c>
      <c r="L14" s="10" t="s">
        <v>26</v>
      </c>
      <c r="M14" s="10"/>
      <c r="N14" s="10"/>
      <c r="O14" s="10" t="s">
        <v>27</v>
      </c>
      <c r="P14" s="10" t="s">
        <v>58</v>
      </c>
      <c r="Q14" s="10"/>
      <c r="R14" s="14">
        <v>1</v>
      </c>
      <c r="T14" s="16"/>
      <c r="U14" s="16"/>
      <c r="V14" s="15" t="s">
        <v>26</v>
      </c>
      <c r="W14" s="16"/>
      <c r="X14" s="16"/>
    </row>
    <row r="15" spans="1:24" x14ac:dyDescent="0.25">
      <c r="B15" s="9" t="s">
        <v>84</v>
      </c>
      <c r="C15" s="10" t="s">
        <v>19</v>
      </c>
      <c r="D15" s="11">
        <v>45582</v>
      </c>
      <c r="E15" s="10" t="s">
        <v>85</v>
      </c>
      <c r="F15" s="10" t="s">
        <v>86</v>
      </c>
      <c r="G15" s="10" t="s">
        <v>22</v>
      </c>
      <c r="H15" s="10"/>
      <c r="I15" s="10" t="s">
        <v>23</v>
      </c>
      <c r="J15" s="12"/>
      <c r="K15" s="13" t="s">
        <v>25</v>
      </c>
      <c r="L15" s="10" t="s">
        <v>26</v>
      </c>
      <c r="M15" s="10"/>
      <c r="N15" s="10"/>
      <c r="O15" s="10" t="s">
        <v>27</v>
      </c>
      <c r="P15" s="10" t="s">
        <v>58</v>
      </c>
      <c r="Q15" s="10"/>
      <c r="R15" s="14">
        <v>1</v>
      </c>
      <c r="T15" s="16"/>
      <c r="U15" s="16"/>
      <c r="V15" s="15" t="s">
        <v>89</v>
      </c>
      <c r="W15" s="16"/>
      <c r="X15" s="16"/>
    </row>
    <row r="16" spans="1:24" x14ac:dyDescent="0.25">
      <c r="B16" s="9" t="s">
        <v>87</v>
      </c>
      <c r="C16" s="10" t="s">
        <v>19</v>
      </c>
      <c r="D16" s="11">
        <v>45582</v>
      </c>
      <c r="E16" s="10" t="s">
        <v>88</v>
      </c>
      <c r="F16" s="10" t="s">
        <v>42</v>
      </c>
      <c r="G16" s="10" t="s">
        <v>22</v>
      </c>
      <c r="H16" s="10"/>
      <c r="I16" s="10" t="s">
        <v>23</v>
      </c>
      <c r="J16" s="12"/>
      <c r="K16" s="13" t="s">
        <v>25</v>
      </c>
      <c r="L16" s="10" t="s">
        <v>26</v>
      </c>
      <c r="M16" s="10"/>
      <c r="N16" s="10"/>
      <c r="O16" s="10" t="s">
        <v>27</v>
      </c>
      <c r="P16" s="10" t="s">
        <v>58</v>
      </c>
      <c r="Q16" s="10"/>
      <c r="R16" s="14">
        <v>1</v>
      </c>
      <c r="T16" s="16"/>
      <c r="U16" s="16"/>
      <c r="V16" s="15" t="s">
        <v>92</v>
      </c>
      <c r="W16" s="16"/>
      <c r="X16" s="16"/>
    </row>
    <row r="17" spans="2:24" x14ac:dyDescent="0.25">
      <c r="B17" s="9" t="s">
        <v>90</v>
      </c>
      <c r="C17" s="10" t="s">
        <v>19</v>
      </c>
      <c r="D17" s="11">
        <v>45582</v>
      </c>
      <c r="E17" s="10" t="s">
        <v>81</v>
      </c>
      <c r="F17" s="10"/>
      <c r="G17" s="10" t="s">
        <v>22</v>
      </c>
      <c r="H17" s="10" t="s">
        <v>91</v>
      </c>
      <c r="I17" s="10" t="s">
        <v>23</v>
      </c>
      <c r="J17" s="12"/>
      <c r="K17" s="13" t="s">
        <v>25</v>
      </c>
      <c r="L17" s="10" t="s">
        <v>26</v>
      </c>
      <c r="M17" s="10"/>
      <c r="N17" s="10"/>
      <c r="O17" s="10" t="s">
        <v>27</v>
      </c>
      <c r="P17" s="10" t="s">
        <v>58</v>
      </c>
      <c r="Q17" s="10"/>
      <c r="R17" s="14">
        <v>1</v>
      </c>
      <c r="T17" s="16"/>
      <c r="U17" s="16"/>
      <c r="V17" s="15" t="s">
        <v>95</v>
      </c>
      <c r="W17" s="16"/>
      <c r="X17" s="16"/>
    </row>
    <row r="18" spans="2:24" x14ac:dyDescent="0.25">
      <c r="B18" s="9" t="s">
        <v>93</v>
      </c>
      <c r="C18" s="10" t="s">
        <v>19</v>
      </c>
      <c r="D18" s="11">
        <v>45582</v>
      </c>
      <c r="E18" s="10" t="s">
        <v>94</v>
      </c>
      <c r="F18" s="10"/>
      <c r="G18" s="10" t="s">
        <v>22</v>
      </c>
      <c r="H18" s="10"/>
      <c r="I18" s="10" t="s">
        <v>23</v>
      </c>
      <c r="J18" s="12"/>
      <c r="K18" s="13" t="s">
        <v>25</v>
      </c>
      <c r="L18" s="10" t="s">
        <v>26</v>
      </c>
      <c r="M18" s="10"/>
      <c r="N18" s="10"/>
      <c r="O18" s="10" t="s">
        <v>27</v>
      </c>
      <c r="P18" s="10" t="s">
        <v>58</v>
      </c>
      <c r="Q18" s="10"/>
      <c r="R18" s="14">
        <v>1</v>
      </c>
      <c r="T18" s="16"/>
      <c r="U18" s="16"/>
      <c r="V18" s="15" t="s">
        <v>99</v>
      </c>
      <c r="W18" s="16"/>
      <c r="X18" s="16"/>
    </row>
    <row r="19" spans="2:24" x14ac:dyDescent="0.25">
      <c r="B19" s="9" t="s">
        <v>96</v>
      </c>
      <c r="C19" s="10" t="s">
        <v>19</v>
      </c>
      <c r="D19" s="11">
        <v>45582</v>
      </c>
      <c r="E19" s="10" t="s">
        <v>97</v>
      </c>
      <c r="F19" s="10"/>
      <c r="G19" s="10" t="s">
        <v>22</v>
      </c>
      <c r="H19" s="10"/>
      <c r="I19" s="10" t="s">
        <v>23</v>
      </c>
      <c r="J19" s="12" t="s">
        <v>98</v>
      </c>
      <c r="K19" s="13" t="s">
        <v>25</v>
      </c>
      <c r="L19" s="10" t="s">
        <v>26</v>
      </c>
      <c r="M19" s="10"/>
      <c r="N19" s="10"/>
      <c r="O19" s="10" t="s">
        <v>27</v>
      </c>
      <c r="P19" s="10" t="s">
        <v>28</v>
      </c>
      <c r="Q19" s="10"/>
      <c r="R19" s="14">
        <v>1</v>
      </c>
      <c r="T19" s="16"/>
      <c r="U19" s="16"/>
      <c r="V19" s="15" t="s">
        <v>56</v>
      </c>
      <c r="W19" s="16"/>
      <c r="X19" s="16"/>
    </row>
    <row r="20" spans="2:24" x14ac:dyDescent="0.25">
      <c r="B20" s="9" t="s">
        <v>100</v>
      </c>
      <c r="C20" s="10" t="s">
        <v>19</v>
      </c>
      <c r="D20" s="11">
        <v>45582</v>
      </c>
      <c r="E20" s="10" t="s">
        <v>101</v>
      </c>
      <c r="F20" s="10" t="s">
        <v>86</v>
      </c>
      <c r="G20" s="10" t="s">
        <v>22</v>
      </c>
      <c r="H20" s="10"/>
      <c r="I20" s="10" t="s">
        <v>23</v>
      </c>
      <c r="J20" s="12"/>
      <c r="K20" s="13" t="s">
        <v>25</v>
      </c>
      <c r="L20" s="10" t="s">
        <v>26</v>
      </c>
      <c r="M20" s="10"/>
      <c r="N20" s="10"/>
      <c r="O20" s="10" t="s">
        <v>27</v>
      </c>
      <c r="P20" s="10" t="s">
        <v>58</v>
      </c>
      <c r="Q20" s="10"/>
      <c r="R20" s="14">
        <v>1</v>
      </c>
      <c r="T20" s="16"/>
      <c r="U20" s="16"/>
      <c r="V20" s="15" t="s">
        <v>43</v>
      </c>
      <c r="W20" s="16"/>
      <c r="X20" s="16"/>
    </row>
    <row r="21" spans="2:24" x14ac:dyDescent="0.25">
      <c r="B21" s="9" t="s">
        <v>102</v>
      </c>
      <c r="C21" s="10" t="s">
        <v>19</v>
      </c>
      <c r="D21" s="11">
        <v>45582</v>
      </c>
      <c r="E21" s="10" t="s">
        <v>103</v>
      </c>
      <c r="F21" s="10" t="s">
        <v>21</v>
      </c>
      <c r="G21" s="10" t="s">
        <v>22</v>
      </c>
      <c r="H21" s="10"/>
      <c r="I21" s="10" t="s">
        <v>23</v>
      </c>
      <c r="J21" s="12" t="s">
        <v>104</v>
      </c>
      <c r="K21" s="13" t="s">
        <v>25</v>
      </c>
      <c r="L21" s="10" t="s">
        <v>26</v>
      </c>
      <c r="M21" s="11">
        <f>D21+8</f>
        <v>45590</v>
      </c>
      <c r="N21" s="11">
        <f>M21</f>
        <v>45590</v>
      </c>
      <c r="O21" s="10" t="s">
        <v>27</v>
      </c>
      <c r="P21" s="10" t="s">
        <v>28</v>
      </c>
      <c r="Q21" s="17" t="s">
        <v>105</v>
      </c>
      <c r="R21" s="14">
        <v>2</v>
      </c>
      <c r="T21" s="16"/>
      <c r="U21" s="16"/>
      <c r="V21" s="15" t="s">
        <v>108</v>
      </c>
      <c r="W21" s="16"/>
      <c r="X21" s="16"/>
    </row>
    <row r="22" spans="2:24" x14ac:dyDescent="0.25">
      <c r="B22" s="9" t="s">
        <v>106</v>
      </c>
      <c r="C22" s="10" t="s">
        <v>19</v>
      </c>
      <c r="D22" s="11">
        <v>45582</v>
      </c>
      <c r="E22" s="10" t="s">
        <v>107</v>
      </c>
      <c r="F22" s="10" t="s">
        <v>21</v>
      </c>
      <c r="G22" s="10" t="s">
        <v>22</v>
      </c>
      <c r="H22" s="10"/>
      <c r="I22" s="10" t="s">
        <v>23</v>
      </c>
      <c r="J22" s="12"/>
      <c r="K22" s="13" t="s">
        <v>25</v>
      </c>
      <c r="L22" s="10" t="s">
        <v>26</v>
      </c>
      <c r="M22" s="10"/>
      <c r="N22" s="10"/>
      <c r="O22" s="10" t="s">
        <v>27</v>
      </c>
      <c r="P22" s="10" t="s">
        <v>58</v>
      </c>
      <c r="Q22" s="10"/>
      <c r="R22" s="14">
        <v>1</v>
      </c>
      <c r="T22" s="16"/>
      <c r="U22" s="16"/>
      <c r="V22" s="15" t="s">
        <v>111</v>
      </c>
      <c r="W22" s="16"/>
      <c r="X22" s="16"/>
    </row>
    <row r="23" spans="2:24" x14ac:dyDescent="0.25">
      <c r="B23" s="9" t="s">
        <v>109</v>
      </c>
      <c r="C23" s="10" t="s">
        <v>19</v>
      </c>
      <c r="D23" s="11">
        <v>45582</v>
      </c>
      <c r="E23" s="10" t="s">
        <v>85</v>
      </c>
      <c r="F23" s="10" t="s">
        <v>110</v>
      </c>
      <c r="G23" s="10" t="s">
        <v>22</v>
      </c>
      <c r="H23" s="10"/>
      <c r="I23" s="10" t="s">
        <v>23</v>
      </c>
      <c r="J23" s="12"/>
      <c r="K23" s="13" t="s">
        <v>25</v>
      </c>
      <c r="L23" s="10" t="s">
        <v>26</v>
      </c>
      <c r="M23" s="10"/>
      <c r="N23" s="10"/>
      <c r="O23" s="10" t="s">
        <v>27</v>
      </c>
      <c r="P23" s="10" t="s">
        <v>28</v>
      </c>
      <c r="Q23" s="10"/>
      <c r="R23" s="14">
        <v>1</v>
      </c>
      <c r="T23" s="16"/>
      <c r="U23" s="16"/>
      <c r="V23" s="15" t="s">
        <v>114</v>
      </c>
      <c r="W23" s="16"/>
      <c r="X23" s="16"/>
    </row>
    <row r="24" spans="2:24" x14ac:dyDescent="0.25">
      <c r="B24" s="9" t="s">
        <v>112</v>
      </c>
      <c r="C24" s="10" t="s">
        <v>19</v>
      </c>
      <c r="D24" s="11">
        <v>45582</v>
      </c>
      <c r="E24" s="10" t="s">
        <v>97</v>
      </c>
      <c r="F24" s="10"/>
      <c r="G24" s="10" t="s">
        <v>22</v>
      </c>
      <c r="H24" s="10"/>
      <c r="I24" s="10" t="s">
        <v>23</v>
      </c>
      <c r="J24" s="12" t="s">
        <v>113</v>
      </c>
      <c r="K24" s="13" t="s">
        <v>25</v>
      </c>
      <c r="L24" s="10" t="s">
        <v>26</v>
      </c>
      <c r="M24" s="10"/>
      <c r="N24" s="10"/>
      <c r="O24" s="10" t="s">
        <v>27</v>
      </c>
      <c r="P24" s="10" t="s">
        <v>58</v>
      </c>
      <c r="Q24" s="10"/>
      <c r="R24" s="14">
        <v>1</v>
      </c>
      <c r="T24" s="16"/>
      <c r="U24" s="16"/>
      <c r="V24" s="15" t="s">
        <v>117</v>
      </c>
      <c r="W24" s="16"/>
      <c r="X24" s="16"/>
    </row>
    <row r="25" spans="2:24" x14ac:dyDescent="0.25">
      <c r="B25" s="9" t="s">
        <v>115</v>
      </c>
      <c r="C25" s="10" t="s">
        <v>19</v>
      </c>
      <c r="D25" s="11">
        <v>45582</v>
      </c>
      <c r="E25" s="10" t="s">
        <v>116</v>
      </c>
      <c r="F25" s="10" t="s">
        <v>21</v>
      </c>
      <c r="G25" s="10" t="s">
        <v>22</v>
      </c>
      <c r="H25" s="10"/>
      <c r="I25" s="10" t="s">
        <v>23</v>
      </c>
      <c r="J25" s="12"/>
      <c r="K25" s="13" t="s">
        <v>25</v>
      </c>
      <c r="L25" s="10" t="s">
        <v>26</v>
      </c>
      <c r="M25" s="10"/>
      <c r="N25" s="10"/>
      <c r="O25" s="10" t="s">
        <v>27</v>
      </c>
      <c r="P25" s="10" t="s">
        <v>28</v>
      </c>
      <c r="Q25" s="10"/>
      <c r="R25" s="14">
        <v>1</v>
      </c>
      <c r="T25" s="16"/>
      <c r="U25" s="16"/>
      <c r="W25" s="16"/>
      <c r="X25" s="16"/>
    </row>
    <row r="26" spans="2:24" x14ac:dyDescent="0.25">
      <c r="B26" s="9" t="s">
        <v>118</v>
      </c>
      <c r="C26" s="10" t="s">
        <v>19</v>
      </c>
      <c r="D26" s="11">
        <v>45582</v>
      </c>
      <c r="E26" s="10" t="s">
        <v>119</v>
      </c>
      <c r="F26" s="10" t="s">
        <v>21</v>
      </c>
      <c r="G26" s="10">
        <v>24015</v>
      </c>
      <c r="H26" s="10" t="s">
        <v>120</v>
      </c>
      <c r="I26" s="10" t="s">
        <v>23</v>
      </c>
      <c r="J26" s="12" t="s">
        <v>121</v>
      </c>
      <c r="K26" s="13" t="s">
        <v>25</v>
      </c>
      <c r="L26" s="10" t="s">
        <v>79</v>
      </c>
      <c r="M26" s="18">
        <v>45702</v>
      </c>
      <c r="N26" s="18">
        <v>45702</v>
      </c>
      <c r="O26" s="10" t="s">
        <v>39</v>
      </c>
      <c r="P26" s="10" t="s">
        <v>65</v>
      </c>
      <c r="Q26" s="17" t="s">
        <v>122</v>
      </c>
      <c r="R26" s="14">
        <v>20</v>
      </c>
      <c r="V26" s="15"/>
    </row>
    <row r="27" spans="2:24" x14ac:dyDescent="0.25">
      <c r="B27" s="9" t="s">
        <v>124</v>
      </c>
      <c r="C27" s="10" t="s">
        <v>19</v>
      </c>
      <c r="D27" s="11">
        <v>45582</v>
      </c>
      <c r="E27" s="10" t="s">
        <v>125</v>
      </c>
      <c r="F27" s="10" t="s">
        <v>42</v>
      </c>
      <c r="G27" s="10">
        <v>23726</v>
      </c>
      <c r="H27" s="10"/>
      <c r="I27" s="10" t="s">
        <v>23</v>
      </c>
      <c r="J27" s="12" t="s">
        <v>126</v>
      </c>
      <c r="K27" s="13" t="s">
        <v>25</v>
      </c>
      <c r="L27" s="10" t="s">
        <v>117</v>
      </c>
      <c r="M27" s="10"/>
      <c r="N27" s="10"/>
      <c r="O27" s="10" t="s">
        <v>27</v>
      </c>
      <c r="P27" s="10" t="s">
        <v>65</v>
      </c>
      <c r="Q27" s="10"/>
      <c r="R27" s="14">
        <v>1</v>
      </c>
    </row>
    <row r="28" spans="2:24" x14ac:dyDescent="0.25">
      <c r="B28" s="9" t="s">
        <v>127</v>
      </c>
      <c r="C28" s="10" t="s">
        <v>19</v>
      </c>
      <c r="D28" s="11">
        <v>45574</v>
      </c>
      <c r="E28" s="10" t="s">
        <v>128</v>
      </c>
      <c r="F28" s="10" t="s">
        <v>42</v>
      </c>
      <c r="G28" s="10" t="s">
        <v>22</v>
      </c>
      <c r="H28" s="10"/>
      <c r="I28" s="10" t="s">
        <v>23</v>
      </c>
      <c r="J28" s="12" t="s">
        <v>129</v>
      </c>
      <c r="K28" s="13" t="s">
        <v>25</v>
      </c>
      <c r="L28" s="10" t="s">
        <v>26</v>
      </c>
      <c r="M28" s="11">
        <f>D28+7</f>
        <v>45581</v>
      </c>
      <c r="N28" s="11">
        <f>M28-6</f>
        <v>45575</v>
      </c>
      <c r="O28" s="10" t="s">
        <v>27</v>
      </c>
      <c r="P28" s="10" t="s">
        <v>58</v>
      </c>
      <c r="Q28" s="17" t="s">
        <v>130</v>
      </c>
      <c r="R28" s="14">
        <v>2</v>
      </c>
    </row>
    <row r="29" spans="2:24" x14ac:dyDescent="0.25">
      <c r="B29" s="9" t="s">
        <v>131</v>
      </c>
      <c r="C29" s="10" t="s">
        <v>19</v>
      </c>
      <c r="D29" s="11">
        <v>45574</v>
      </c>
      <c r="E29" s="10" t="s">
        <v>132</v>
      </c>
      <c r="F29" s="10" t="s">
        <v>86</v>
      </c>
      <c r="G29" s="10" t="s">
        <v>22</v>
      </c>
      <c r="H29" s="10"/>
      <c r="I29" s="10" t="s">
        <v>23</v>
      </c>
      <c r="J29" s="12" t="s">
        <v>133</v>
      </c>
      <c r="K29" s="13" t="s">
        <v>25</v>
      </c>
      <c r="L29" s="10" t="s">
        <v>26</v>
      </c>
      <c r="M29" s="10"/>
      <c r="N29" s="10"/>
      <c r="O29" s="10" t="s">
        <v>27</v>
      </c>
      <c r="P29" s="10" t="s">
        <v>58</v>
      </c>
      <c r="Q29" s="10"/>
      <c r="R29" s="14">
        <v>1</v>
      </c>
    </row>
    <row r="30" spans="2:24" x14ac:dyDescent="0.25">
      <c r="B30" s="9" t="s">
        <v>134</v>
      </c>
      <c r="C30" s="10" t="s">
        <v>19</v>
      </c>
      <c r="D30" s="11">
        <v>45582</v>
      </c>
      <c r="E30" s="10" t="s">
        <v>135</v>
      </c>
      <c r="F30" s="10"/>
      <c r="G30" s="10" t="s">
        <v>22</v>
      </c>
      <c r="H30" s="10"/>
      <c r="I30" s="10" t="s">
        <v>23</v>
      </c>
      <c r="J30" s="12" t="s">
        <v>136</v>
      </c>
      <c r="K30" s="19" t="s">
        <v>22</v>
      </c>
      <c r="L30" s="10" t="s">
        <v>26</v>
      </c>
      <c r="M30" s="10"/>
      <c r="N30" s="10"/>
      <c r="O30" s="10" t="s">
        <v>27</v>
      </c>
      <c r="P30" s="10" t="s">
        <v>28</v>
      </c>
      <c r="Q30" s="10"/>
      <c r="R30" s="14">
        <v>1</v>
      </c>
    </row>
    <row r="31" spans="2:24" x14ac:dyDescent="0.25">
      <c r="B31" s="9" t="s">
        <v>137</v>
      </c>
      <c r="C31" s="10" t="s">
        <v>19</v>
      </c>
      <c r="D31" s="11">
        <v>45582</v>
      </c>
      <c r="E31" s="10" t="s">
        <v>138</v>
      </c>
      <c r="F31" s="10" t="s">
        <v>86</v>
      </c>
      <c r="G31" s="10" t="s">
        <v>22</v>
      </c>
      <c r="H31" s="10"/>
      <c r="I31" s="10" t="s">
        <v>23</v>
      </c>
      <c r="J31" s="12" t="s">
        <v>139</v>
      </c>
      <c r="K31" s="13" t="s">
        <v>25</v>
      </c>
      <c r="L31" s="10" t="s">
        <v>26</v>
      </c>
      <c r="M31" s="11">
        <f>D31+14</f>
        <v>45596</v>
      </c>
      <c r="N31" s="11">
        <f>M31+6</f>
        <v>45602</v>
      </c>
      <c r="O31" s="10" t="s">
        <v>27</v>
      </c>
      <c r="P31" s="10" t="s">
        <v>58</v>
      </c>
      <c r="Q31" s="17" t="s">
        <v>140</v>
      </c>
      <c r="R31" s="14">
        <v>4</v>
      </c>
    </row>
    <row r="32" spans="2:24" x14ac:dyDescent="0.25">
      <c r="B32" s="9" t="s">
        <v>141</v>
      </c>
      <c r="C32" s="10" t="s">
        <v>19</v>
      </c>
      <c r="D32" s="11">
        <v>45593</v>
      </c>
      <c r="E32" s="10" t="s">
        <v>142</v>
      </c>
      <c r="F32" s="10" t="s">
        <v>86</v>
      </c>
      <c r="G32" s="10" t="s">
        <v>22</v>
      </c>
      <c r="H32" s="10"/>
      <c r="I32" s="10" t="s">
        <v>23</v>
      </c>
      <c r="J32" s="12" t="s">
        <v>143</v>
      </c>
      <c r="K32" s="13" t="s">
        <v>25</v>
      </c>
      <c r="L32" s="10" t="s">
        <v>26</v>
      </c>
      <c r="M32" s="11">
        <f>D32+7</f>
        <v>45600</v>
      </c>
      <c r="N32" s="11">
        <f>M32-3</f>
        <v>45597</v>
      </c>
      <c r="O32" s="10" t="s">
        <v>27</v>
      </c>
      <c r="P32" s="10" t="s">
        <v>28</v>
      </c>
      <c r="Q32" s="17" t="s">
        <v>144</v>
      </c>
      <c r="R32" s="14">
        <v>4</v>
      </c>
    </row>
    <row r="33" spans="2:18" x14ac:dyDescent="0.25">
      <c r="B33" s="9" t="s">
        <v>145</v>
      </c>
      <c r="C33" s="10" t="s">
        <v>19</v>
      </c>
      <c r="D33" s="11">
        <v>45608</v>
      </c>
      <c r="E33" s="10" t="s">
        <v>146</v>
      </c>
      <c r="F33" s="10" t="s">
        <v>21</v>
      </c>
      <c r="G33" s="10" t="s">
        <v>22</v>
      </c>
      <c r="H33" s="10"/>
      <c r="I33" s="10" t="s">
        <v>23</v>
      </c>
      <c r="J33" s="12" t="s">
        <v>147</v>
      </c>
      <c r="K33" s="19" t="s">
        <v>22</v>
      </c>
      <c r="L33" s="10" t="s">
        <v>26</v>
      </c>
      <c r="M33" s="11">
        <f>D33+10</f>
        <v>45618</v>
      </c>
      <c r="N33" s="11">
        <f>M33</f>
        <v>45618</v>
      </c>
      <c r="O33" s="10" t="s">
        <v>27</v>
      </c>
      <c r="P33" s="10" t="s">
        <v>58</v>
      </c>
      <c r="Q33" s="17" t="s">
        <v>148</v>
      </c>
      <c r="R33" s="14">
        <v>3</v>
      </c>
    </row>
    <row r="34" spans="2:18" x14ac:dyDescent="0.25">
      <c r="B34" s="9" t="s">
        <v>149</v>
      </c>
      <c r="C34" s="10" t="s">
        <v>19</v>
      </c>
      <c r="D34" s="11">
        <v>45643</v>
      </c>
      <c r="E34" s="10" t="s">
        <v>150</v>
      </c>
      <c r="F34" s="10" t="s">
        <v>42</v>
      </c>
      <c r="G34" s="10" t="s">
        <v>22</v>
      </c>
      <c r="H34" s="10" t="s">
        <v>151</v>
      </c>
      <c r="I34" s="10" t="s">
        <v>23</v>
      </c>
      <c r="J34" s="12" t="s">
        <v>152</v>
      </c>
      <c r="K34" s="13" t="s">
        <v>25</v>
      </c>
      <c r="L34" s="10" t="s">
        <v>26</v>
      </c>
      <c r="M34" s="11">
        <f>D34+28</f>
        <v>45671</v>
      </c>
      <c r="N34" s="11">
        <f>M34+1</f>
        <v>45672</v>
      </c>
      <c r="O34" s="10" t="s">
        <v>27</v>
      </c>
      <c r="P34" s="10" t="s">
        <v>58</v>
      </c>
      <c r="Q34" s="17" t="s">
        <v>153</v>
      </c>
      <c r="R34" s="14">
        <v>3</v>
      </c>
    </row>
    <row r="35" spans="2:18" x14ac:dyDescent="0.25">
      <c r="B35" s="9" t="s">
        <v>154</v>
      </c>
      <c r="C35" s="10" t="s">
        <v>19</v>
      </c>
      <c r="D35" s="11">
        <v>45665</v>
      </c>
      <c r="E35" s="10" t="s">
        <v>155</v>
      </c>
      <c r="F35" s="10" t="s">
        <v>34</v>
      </c>
      <c r="G35" s="10">
        <v>23675</v>
      </c>
      <c r="H35" s="10" t="s">
        <v>156</v>
      </c>
      <c r="I35" s="10" t="s">
        <v>23</v>
      </c>
      <c r="J35" s="12" t="s">
        <v>157</v>
      </c>
      <c r="K35" s="13" t="s">
        <v>25</v>
      </c>
      <c r="L35" s="10" t="s">
        <v>89</v>
      </c>
      <c r="M35" s="11">
        <f>D35+6</f>
        <v>45671</v>
      </c>
      <c r="N35" s="11">
        <f>M35</f>
        <v>45671</v>
      </c>
      <c r="O35" s="10" t="s">
        <v>39</v>
      </c>
      <c r="P35" s="10" t="s">
        <v>65</v>
      </c>
      <c r="Q35" s="17"/>
      <c r="R35" s="14">
        <v>4</v>
      </c>
    </row>
    <row r="36" spans="2:18" x14ac:dyDescent="0.25">
      <c r="B36" s="9" t="s">
        <v>158</v>
      </c>
      <c r="C36" s="10" t="s">
        <v>49</v>
      </c>
      <c r="D36" s="11">
        <v>45636</v>
      </c>
      <c r="E36" s="10" t="s">
        <v>159</v>
      </c>
      <c r="F36" s="10" t="s">
        <v>21</v>
      </c>
      <c r="G36" s="10">
        <v>23899</v>
      </c>
      <c r="H36" s="10" t="s">
        <v>160</v>
      </c>
      <c r="I36" s="10" t="s">
        <v>56</v>
      </c>
      <c r="J36" s="12" t="s">
        <v>161</v>
      </c>
      <c r="K36" s="19" t="s">
        <v>22</v>
      </c>
      <c r="L36" s="10" t="s">
        <v>99</v>
      </c>
      <c r="M36" s="18">
        <v>45702</v>
      </c>
      <c r="N36" s="18">
        <v>45702</v>
      </c>
      <c r="O36" s="10" t="s">
        <v>27</v>
      </c>
      <c r="P36" s="10" t="s">
        <v>65</v>
      </c>
      <c r="Q36" s="17" t="s">
        <v>162</v>
      </c>
      <c r="R36" s="14">
        <v>16</v>
      </c>
    </row>
    <row r="37" spans="2:18" x14ac:dyDescent="0.25">
      <c r="B37" s="9" t="s">
        <v>163</v>
      </c>
      <c r="C37" s="10" t="s">
        <v>49</v>
      </c>
      <c r="D37" s="11">
        <v>45636</v>
      </c>
      <c r="E37" s="10" t="s">
        <v>159</v>
      </c>
      <c r="F37" s="10" t="s">
        <v>21</v>
      </c>
      <c r="G37" s="10">
        <v>23899</v>
      </c>
      <c r="H37" s="10" t="s">
        <v>160</v>
      </c>
      <c r="I37" s="10" t="s">
        <v>56</v>
      </c>
      <c r="J37" s="12" t="s">
        <v>164</v>
      </c>
      <c r="K37" s="19" t="s">
        <v>22</v>
      </c>
      <c r="L37" s="10" t="s">
        <v>99</v>
      </c>
      <c r="M37" s="18">
        <v>45705</v>
      </c>
      <c r="N37" s="18">
        <v>45705</v>
      </c>
      <c r="O37" s="10" t="s">
        <v>27</v>
      </c>
      <c r="P37" s="10" t="s">
        <v>65</v>
      </c>
      <c r="Q37" s="17" t="s">
        <v>165</v>
      </c>
      <c r="R37" s="14">
        <v>16</v>
      </c>
    </row>
    <row r="38" spans="2:18" x14ac:dyDescent="0.25">
      <c r="B38" s="9" t="s">
        <v>166</v>
      </c>
      <c r="C38" s="10" t="s">
        <v>19</v>
      </c>
      <c r="D38" s="11">
        <v>45638</v>
      </c>
      <c r="E38" s="10" t="s">
        <v>167</v>
      </c>
      <c r="F38" s="10" t="s">
        <v>42</v>
      </c>
      <c r="G38" s="10" t="s">
        <v>22</v>
      </c>
      <c r="H38" s="10" t="s">
        <v>168</v>
      </c>
      <c r="I38" s="10" t="s">
        <v>23</v>
      </c>
      <c r="J38" s="12" t="s">
        <v>126</v>
      </c>
      <c r="K38" s="19" t="s">
        <v>22</v>
      </c>
      <c r="L38" s="10" t="s">
        <v>79</v>
      </c>
      <c r="M38" s="11">
        <f>D38+7</f>
        <v>45645</v>
      </c>
      <c r="N38" s="11">
        <f>M38+0</f>
        <v>45645</v>
      </c>
      <c r="O38" s="10" t="s">
        <v>27</v>
      </c>
      <c r="P38" s="10" t="s">
        <v>38</v>
      </c>
      <c r="Q38" s="17" t="s">
        <v>169</v>
      </c>
      <c r="R38" s="14">
        <v>1</v>
      </c>
    </row>
    <row r="39" spans="2:18" x14ac:dyDescent="0.25">
      <c r="B39" s="9" t="s">
        <v>170</v>
      </c>
      <c r="C39" s="10" t="s">
        <v>19</v>
      </c>
      <c r="D39" s="11">
        <v>45671</v>
      </c>
      <c r="E39" s="10" t="s">
        <v>171</v>
      </c>
      <c r="F39" s="10" t="s">
        <v>42</v>
      </c>
      <c r="G39" s="10">
        <v>23883</v>
      </c>
      <c r="H39" s="10"/>
      <c r="I39" s="10" t="s">
        <v>23</v>
      </c>
      <c r="J39" s="12" t="s">
        <v>172</v>
      </c>
      <c r="K39" s="13" t="s">
        <v>25</v>
      </c>
      <c r="L39" s="10" t="s">
        <v>117</v>
      </c>
      <c r="M39" s="10"/>
      <c r="N39" s="10"/>
      <c r="O39" s="10" t="s">
        <v>46</v>
      </c>
      <c r="P39" s="10" t="s">
        <v>65</v>
      </c>
      <c r="Q39" s="17" t="s">
        <v>173</v>
      </c>
      <c r="R39" s="14">
        <v>4</v>
      </c>
    </row>
    <row r="40" spans="2:18" x14ac:dyDescent="0.25">
      <c r="B40" s="9" t="s">
        <v>174</v>
      </c>
      <c r="C40" s="10" t="s">
        <v>19</v>
      </c>
      <c r="D40" s="11">
        <v>45670</v>
      </c>
      <c r="E40" s="10" t="s">
        <v>175</v>
      </c>
      <c r="F40" s="10" t="s">
        <v>86</v>
      </c>
      <c r="G40" s="10" t="s">
        <v>22</v>
      </c>
      <c r="H40" s="10" t="s">
        <v>176</v>
      </c>
      <c r="I40" s="10" t="s">
        <v>23</v>
      </c>
      <c r="J40" s="12" t="s">
        <v>177</v>
      </c>
      <c r="K40" s="13" t="s">
        <v>25</v>
      </c>
      <c r="L40" s="10" t="s">
        <v>26</v>
      </c>
      <c r="M40" s="11">
        <f>D40+6</f>
        <v>45676</v>
      </c>
      <c r="N40" s="11">
        <f>M40-5</f>
        <v>45671</v>
      </c>
      <c r="O40" s="10" t="s">
        <v>39</v>
      </c>
      <c r="P40" s="10" t="s">
        <v>28</v>
      </c>
      <c r="Q40" s="17" t="s">
        <v>178</v>
      </c>
      <c r="R40" s="14">
        <v>8</v>
      </c>
    </row>
    <row r="41" spans="2:18" x14ac:dyDescent="0.25">
      <c r="B41" s="9" t="s">
        <v>179</v>
      </c>
      <c r="C41" s="10" t="s">
        <v>19</v>
      </c>
      <c r="D41" s="11">
        <v>45670</v>
      </c>
      <c r="E41" s="10" t="s">
        <v>180</v>
      </c>
      <c r="F41" s="10" t="s">
        <v>86</v>
      </c>
      <c r="G41" s="10" t="s">
        <v>22</v>
      </c>
      <c r="H41" s="10"/>
      <c r="I41" s="10" t="s">
        <v>23</v>
      </c>
      <c r="J41" s="12" t="s">
        <v>181</v>
      </c>
      <c r="K41" s="13" t="s">
        <v>25</v>
      </c>
      <c r="L41" s="10" t="s">
        <v>26</v>
      </c>
      <c r="M41" s="11">
        <f>D41+21</f>
        <v>45691</v>
      </c>
      <c r="N41" s="10"/>
      <c r="O41" s="10" t="s">
        <v>27</v>
      </c>
      <c r="P41" s="10" t="s">
        <v>28</v>
      </c>
      <c r="Q41" s="10"/>
      <c r="R41" s="14">
        <v>1</v>
      </c>
    </row>
    <row r="42" spans="2:18" x14ac:dyDescent="0.25">
      <c r="B42" s="9" t="s">
        <v>182</v>
      </c>
      <c r="C42" s="10" t="s">
        <v>19</v>
      </c>
      <c r="D42" s="11">
        <v>45670</v>
      </c>
      <c r="E42" s="10" t="s">
        <v>183</v>
      </c>
      <c r="F42" s="10" t="s">
        <v>184</v>
      </c>
      <c r="G42" s="10">
        <v>23923</v>
      </c>
      <c r="H42" s="10"/>
      <c r="I42" s="10" t="s">
        <v>23</v>
      </c>
      <c r="J42" s="12" t="s">
        <v>185</v>
      </c>
      <c r="K42" s="13" t="s">
        <v>25</v>
      </c>
      <c r="L42" s="10" t="s">
        <v>26</v>
      </c>
      <c r="M42" s="11">
        <f>D42+29</f>
        <v>45699</v>
      </c>
      <c r="N42" s="11">
        <f>M42-1</f>
        <v>45698</v>
      </c>
      <c r="O42" s="10" t="s">
        <v>39</v>
      </c>
      <c r="P42" s="10" t="s">
        <v>65</v>
      </c>
      <c r="Q42" s="17" t="s">
        <v>186</v>
      </c>
      <c r="R42" s="14">
        <v>8</v>
      </c>
    </row>
    <row r="43" spans="2:18" x14ac:dyDescent="0.25">
      <c r="B43" s="9" t="s">
        <v>187</v>
      </c>
      <c r="C43" s="10" t="s">
        <v>19</v>
      </c>
      <c r="D43" s="11">
        <v>45673</v>
      </c>
      <c r="E43" s="10" t="s">
        <v>188</v>
      </c>
      <c r="F43" s="10" t="s">
        <v>42</v>
      </c>
      <c r="G43" s="10">
        <v>23958</v>
      </c>
      <c r="H43" s="10"/>
      <c r="I43" s="10" t="s">
        <v>23</v>
      </c>
      <c r="J43" s="12" t="s">
        <v>189</v>
      </c>
      <c r="K43" s="13" t="s">
        <v>25</v>
      </c>
      <c r="L43" s="10" t="s">
        <v>26</v>
      </c>
      <c r="M43" s="11">
        <f>D43+6</f>
        <v>45679</v>
      </c>
      <c r="N43" s="11">
        <f>M43+1</f>
        <v>45680</v>
      </c>
      <c r="O43" s="10" t="s">
        <v>39</v>
      </c>
      <c r="P43" s="10" t="s">
        <v>65</v>
      </c>
      <c r="Q43" s="10"/>
      <c r="R43" s="14">
        <v>9</v>
      </c>
    </row>
    <row r="44" spans="2:18" x14ac:dyDescent="0.25">
      <c r="B44" s="9" t="s">
        <v>190</v>
      </c>
      <c r="C44" s="10" t="s">
        <v>19</v>
      </c>
      <c r="D44" s="11">
        <v>45678</v>
      </c>
      <c r="E44" s="10" t="s">
        <v>191</v>
      </c>
      <c r="F44" s="10" t="s">
        <v>86</v>
      </c>
      <c r="G44" s="10" t="s">
        <v>22</v>
      </c>
      <c r="H44" s="10"/>
      <c r="I44" s="10" t="s">
        <v>23</v>
      </c>
      <c r="J44" s="12" t="s">
        <v>192</v>
      </c>
      <c r="K44" s="13" t="s">
        <v>25</v>
      </c>
      <c r="L44" s="10" t="s">
        <v>26</v>
      </c>
      <c r="M44" s="11">
        <f>D44+3</f>
        <v>45681</v>
      </c>
      <c r="N44" s="11">
        <f>M44+5</f>
        <v>45686</v>
      </c>
      <c r="O44" s="10" t="s">
        <v>27</v>
      </c>
      <c r="P44" s="10" t="s">
        <v>58</v>
      </c>
      <c r="Q44" s="17" t="s">
        <v>193</v>
      </c>
      <c r="R44" s="14">
        <v>4</v>
      </c>
    </row>
    <row r="45" spans="2:18" x14ac:dyDescent="0.25">
      <c r="B45" s="9" t="s">
        <v>194</v>
      </c>
      <c r="C45" s="10" t="s">
        <v>19</v>
      </c>
      <c r="D45" s="11">
        <v>45676</v>
      </c>
      <c r="E45" s="10" t="s">
        <v>171</v>
      </c>
      <c r="F45" s="10" t="s">
        <v>42</v>
      </c>
      <c r="G45" s="10" t="s">
        <v>22</v>
      </c>
      <c r="H45" s="10"/>
      <c r="I45" s="10" t="s">
        <v>23</v>
      </c>
      <c r="J45" s="12" t="s">
        <v>195</v>
      </c>
      <c r="K45" s="13" t="s">
        <v>25</v>
      </c>
      <c r="L45" s="10" t="s">
        <v>95</v>
      </c>
      <c r="M45" s="11">
        <f>D45+5</f>
        <v>45681</v>
      </c>
      <c r="N45" s="11">
        <f>M45-1</f>
        <v>45680</v>
      </c>
      <c r="O45" s="10" t="s">
        <v>27</v>
      </c>
      <c r="P45" s="10" t="s">
        <v>28</v>
      </c>
      <c r="Q45" s="10"/>
      <c r="R45" s="14">
        <v>1</v>
      </c>
    </row>
    <row r="46" spans="2:18" x14ac:dyDescent="0.25">
      <c r="B46" s="9" t="s">
        <v>196</v>
      </c>
      <c r="C46" s="10" t="s">
        <v>19</v>
      </c>
      <c r="D46" s="11">
        <v>45677</v>
      </c>
      <c r="E46" s="10" t="s">
        <v>180</v>
      </c>
      <c r="F46" s="10" t="s">
        <v>21</v>
      </c>
      <c r="G46" s="10">
        <v>24009</v>
      </c>
      <c r="H46" s="10"/>
      <c r="I46" s="10" t="s">
        <v>23</v>
      </c>
      <c r="J46" s="12" t="s">
        <v>197</v>
      </c>
      <c r="K46" s="13" t="s">
        <v>25</v>
      </c>
      <c r="L46" s="10" t="s">
        <v>26</v>
      </c>
      <c r="M46" s="11">
        <f>D46+11</f>
        <v>45688</v>
      </c>
      <c r="N46" s="11">
        <f>M46</f>
        <v>45688</v>
      </c>
      <c r="O46" s="10" t="s">
        <v>39</v>
      </c>
      <c r="P46" s="10" t="s">
        <v>65</v>
      </c>
      <c r="Q46" s="10"/>
      <c r="R46" s="14">
        <v>3</v>
      </c>
    </row>
    <row r="47" spans="2:18" x14ac:dyDescent="0.25">
      <c r="B47" s="9" t="s">
        <v>198</v>
      </c>
      <c r="C47" s="10" t="s">
        <v>19</v>
      </c>
      <c r="D47" s="11">
        <v>45678</v>
      </c>
      <c r="E47" s="10" t="s">
        <v>199</v>
      </c>
      <c r="F47" s="10" t="s">
        <v>200</v>
      </c>
      <c r="G47" s="10">
        <v>23916</v>
      </c>
      <c r="H47" s="10"/>
      <c r="I47" s="10" t="s">
        <v>23</v>
      </c>
      <c r="J47" s="12" t="s">
        <v>201</v>
      </c>
      <c r="K47" s="13" t="s">
        <v>25</v>
      </c>
      <c r="L47" s="10" t="s">
        <v>89</v>
      </c>
      <c r="M47" s="11">
        <f>D47+10</f>
        <v>45688</v>
      </c>
      <c r="N47" s="11">
        <f>M47-1</f>
        <v>45687</v>
      </c>
      <c r="O47" s="10" t="s">
        <v>27</v>
      </c>
      <c r="P47" s="10" t="s">
        <v>65</v>
      </c>
      <c r="Q47" s="10"/>
      <c r="R47" s="14">
        <v>3</v>
      </c>
    </row>
    <row r="48" spans="2:18" x14ac:dyDescent="0.25">
      <c r="B48" s="9" t="s">
        <v>202</v>
      </c>
      <c r="C48" s="10" t="s">
        <v>35</v>
      </c>
      <c r="D48" s="11">
        <v>45685</v>
      </c>
      <c r="E48" s="10" t="s">
        <v>119</v>
      </c>
      <c r="F48" s="10" t="s">
        <v>21</v>
      </c>
      <c r="G48" s="10">
        <v>24092</v>
      </c>
      <c r="H48" s="10" t="s">
        <v>203</v>
      </c>
      <c r="I48" s="10" t="s">
        <v>23</v>
      </c>
      <c r="J48" s="12" t="s">
        <v>204</v>
      </c>
      <c r="K48" s="19" t="s">
        <v>22</v>
      </c>
      <c r="L48" s="10" t="s">
        <v>73</v>
      </c>
      <c r="M48" s="11">
        <v>45698</v>
      </c>
      <c r="N48" s="10"/>
      <c r="O48" s="10" t="s">
        <v>27</v>
      </c>
      <c r="P48" s="10" t="s">
        <v>65</v>
      </c>
      <c r="Q48" s="10"/>
      <c r="R48" s="14">
        <v>1</v>
      </c>
    </row>
    <row r="49" spans="1:18" x14ac:dyDescent="0.25">
      <c r="B49" s="9" t="s">
        <v>205</v>
      </c>
      <c r="C49" s="10" t="s">
        <v>35</v>
      </c>
      <c r="D49" s="11">
        <v>45685</v>
      </c>
      <c r="E49" s="10" t="s">
        <v>119</v>
      </c>
      <c r="F49" s="10" t="s">
        <v>21</v>
      </c>
      <c r="G49" s="10" t="s">
        <v>22</v>
      </c>
      <c r="H49" s="10" t="s">
        <v>203</v>
      </c>
      <c r="I49" s="10" t="s">
        <v>23</v>
      </c>
      <c r="J49" s="12" t="s">
        <v>206</v>
      </c>
      <c r="K49" s="19" t="s">
        <v>22</v>
      </c>
      <c r="L49" s="10" t="s">
        <v>73</v>
      </c>
      <c r="M49" s="11">
        <v>45698</v>
      </c>
      <c r="N49" s="10"/>
      <c r="O49" s="10" t="s">
        <v>27</v>
      </c>
      <c r="P49" s="10" t="s">
        <v>38</v>
      </c>
      <c r="Q49" s="10"/>
      <c r="R49" s="14">
        <v>1</v>
      </c>
    </row>
    <row r="50" spans="1:18" x14ac:dyDescent="0.25">
      <c r="B50" s="9" t="s">
        <v>207</v>
      </c>
      <c r="C50" s="10" t="s">
        <v>35</v>
      </c>
      <c r="D50" s="11">
        <v>45685</v>
      </c>
      <c r="E50" s="10" t="s">
        <v>119</v>
      </c>
      <c r="F50" s="10" t="s">
        <v>21</v>
      </c>
      <c r="G50" s="10" t="s">
        <v>22</v>
      </c>
      <c r="H50" s="10" t="s">
        <v>208</v>
      </c>
      <c r="I50" s="10" t="s">
        <v>23</v>
      </c>
      <c r="J50" s="12" t="s">
        <v>209</v>
      </c>
      <c r="K50" s="19" t="s">
        <v>22</v>
      </c>
      <c r="L50" s="10" t="s">
        <v>73</v>
      </c>
      <c r="M50" s="11">
        <v>45698</v>
      </c>
      <c r="N50" s="10"/>
      <c r="O50" s="10" t="s">
        <v>27</v>
      </c>
      <c r="P50" s="10" t="s">
        <v>38</v>
      </c>
      <c r="Q50" s="10"/>
      <c r="R50" s="14">
        <v>1</v>
      </c>
    </row>
    <row r="51" spans="1:18" x14ac:dyDescent="0.25">
      <c r="B51" s="9" t="s">
        <v>210</v>
      </c>
      <c r="C51" s="10" t="s">
        <v>49</v>
      </c>
      <c r="D51" s="11">
        <v>45687</v>
      </c>
      <c r="E51" s="10" t="s">
        <v>211</v>
      </c>
      <c r="F51" s="10" t="s">
        <v>21</v>
      </c>
      <c r="G51" s="10" t="s">
        <v>22</v>
      </c>
      <c r="H51" s="10" t="s">
        <v>212</v>
      </c>
      <c r="I51" s="10" t="s">
        <v>56</v>
      </c>
      <c r="J51" s="20" t="s">
        <v>213</v>
      </c>
      <c r="K51" s="13" t="s">
        <v>25</v>
      </c>
      <c r="L51" s="10" t="s">
        <v>51</v>
      </c>
      <c r="M51" s="18">
        <v>45694</v>
      </c>
      <c r="N51" s="18">
        <v>45694</v>
      </c>
      <c r="O51" s="10" t="s">
        <v>27</v>
      </c>
      <c r="P51" s="10" t="s">
        <v>28</v>
      </c>
      <c r="Q51" s="17" t="s">
        <v>214</v>
      </c>
      <c r="R51" s="14">
        <v>2</v>
      </c>
    </row>
    <row r="52" spans="1:18" x14ac:dyDescent="0.25">
      <c r="B52" s="9" t="s">
        <v>215</v>
      </c>
      <c r="C52" s="10" t="s">
        <v>49</v>
      </c>
      <c r="D52" s="11">
        <v>45687</v>
      </c>
      <c r="E52" s="10" t="s">
        <v>211</v>
      </c>
      <c r="F52" s="10" t="s">
        <v>21</v>
      </c>
      <c r="G52" s="10" t="s">
        <v>22</v>
      </c>
      <c r="H52" s="10" t="s">
        <v>216</v>
      </c>
      <c r="I52" s="10" t="s">
        <v>56</v>
      </c>
      <c r="J52" s="20" t="s">
        <v>217</v>
      </c>
      <c r="K52" s="13" t="s">
        <v>25</v>
      </c>
      <c r="L52" s="10" t="s">
        <v>51</v>
      </c>
      <c r="M52" s="18">
        <v>45692</v>
      </c>
      <c r="N52" s="18">
        <v>45692</v>
      </c>
      <c r="O52" s="10" t="s">
        <v>27</v>
      </c>
      <c r="P52" s="10" t="s">
        <v>28</v>
      </c>
      <c r="Q52" s="17" t="s">
        <v>218</v>
      </c>
      <c r="R52" s="14">
        <v>4</v>
      </c>
    </row>
    <row r="53" spans="1:18" x14ac:dyDescent="0.25">
      <c r="A53" s="21">
        <v>1</v>
      </c>
      <c r="B53" s="9" t="s">
        <v>219</v>
      </c>
      <c r="C53" s="10" t="s">
        <v>35</v>
      </c>
      <c r="D53" s="11">
        <v>45693</v>
      </c>
      <c r="E53" s="10" t="s">
        <v>220</v>
      </c>
      <c r="F53" s="10" t="s">
        <v>21</v>
      </c>
      <c r="G53" s="10" t="s">
        <v>22</v>
      </c>
      <c r="H53" s="10" t="s">
        <v>221</v>
      </c>
      <c r="I53" s="10" t="s">
        <v>23</v>
      </c>
      <c r="J53" s="12" t="s">
        <v>222</v>
      </c>
      <c r="K53" s="19" t="s">
        <v>22</v>
      </c>
      <c r="L53" s="10" t="s">
        <v>73</v>
      </c>
      <c r="M53" s="11">
        <v>45693</v>
      </c>
      <c r="N53" s="11">
        <v>45693</v>
      </c>
      <c r="O53" s="10" t="s">
        <v>39</v>
      </c>
      <c r="P53" s="10" t="s">
        <v>28</v>
      </c>
      <c r="Q53" s="10"/>
      <c r="R53" s="14">
        <v>1</v>
      </c>
    </row>
    <row r="54" spans="1:18" x14ac:dyDescent="0.25">
      <c r="A54" s="21">
        <v>2</v>
      </c>
      <c r="B54" s="9" t="s">
        <v>223</v>
      </c>
      <c r="C54" s="10" t="s">
        <v>35</v>
      </c>
      <c r="D54" s="11">
        <v>45694</v>
      </c>
      <c r="E54" s="10" t="s">
        <v>224</v>
      </c>
      <c r="F54" s="10" t="s">
        <v>21</v>
      </c>
      <c r="G54" s="10" t="s">
        <v>22</v>
      </c>
      <c r="H54" s="10" t="s">
        <v>225</v>
      </c>
      <c r="I54" s="10" t="s">
        <v>23</v>
      </c>
      <c r="J54" s="12" t="s">
        <v>226</v>
      </c>
      <c r="K54" s="19" t="s">
        <v>22</v>
      </c>
      <c r="L54" s="10" t="s">
        <v>73</v>
      </c>
      <c r="M54" s="11">
        <v>45694</v>
      </c>
      <c r="N54" s="11">
        <v>45694</v>
      </c>
      <c r="O54" s="10" t="s">
        <v>27</v>
      </c>
      <c r="P54" s="10" t="s">
        <v>28</v>
      </c>
      <c r="Q54" s="10"/>
      <c r="R54" s="14">
        <v>1</v>
      </c>
    </row>
    <row r="55" spans="1:18" x14ac:dyDescent="0.25">
      <c r="A55" s="21">
        <v>3</v>
      </c>
      <c r="B55" s="9" t="s">
        <v>227</v>
      </c>
      <c r="C55" s="10" t="s">
        <v>19</v>
      </c>
      <c r="D55" s="11">
        <v>45698</v>
      </c>
      <c r="E55" s="10" t="s">
        <v>228</v>
      </c>
      <c r="F55" s="10" t="s">
        <v>42</v>
      </c>
      <c r="G55" s="10" t="s">
        <v>22</v>
      </c>
      <c r="H55" s="10" t="s">
        <v>229</v>
      </c>
      <c r="I55" s="10" t="s">
        <v>23</v>
      </c>
      <c r="J55" s="12" t="s">
        <v>230</v>
      </c>
      <c r="K55" s="13" t="s">
        <v>25</v>
      </c>
      <c r="L55" s="10" t="s">
        <v>26</v>
      </c>
      <c r="M55" s="11">
        <f>D55+9</f>
        <v>45707</v>
      </c>
      <c r="N55" s="11">
        <f>M55</f>
        <v>45707</v>
      </c>
      <c r="O55" s="10" t="s">
        <v>39</v>
      </c>
      <c r="P55" s="10" t="s">
        <v>28</v>
      </c>
      <c r="Q55" s="10"/>
      <c r="R55" s="14">
        <v>6</v>
      </c>
    </row>
    <row r="56" spans="1:18" x14ac:dyDescent="0.25">
      <c r="A56" s="21">
        <v>4</v>
      </c>
      <c r="B56" s="9" t="s">
        <v>231</v>
      </c>
      <c r="C56" s="10" t="s">
        <v>35</v>
      </c>
      <c r="D56" s="11">
        <v>45693</v>
      </c>
      <c r="E56" s="10" t="s">
        <v>220</v>
      </c>
      <c r="F56" s="10" t="s">
        <v>21</v>
      </c>
      <c r="G56" s="10" t="s">
        <v>22</v>
      </c>
      <c r="H56" s="10" t="s">
        <v>232</v>
      </c>
      <c r="I56" s="10" t="s">
        <v>23</v>
      </c>
      <c r="J56" s="12" t="s">
        <v>233</v>
      </c>
      <c r="K56" s="19" t="s">
        <v>22</v>
      </c>
      <c r="L56" s="10" t="s">
        <v>73</v>
      </c>
      <c r="M56" s="11">
        <v>45693</v>
      </c>
      <c r="N56" s="11">
        <v>45693</v>
      </c>
      <c r="O56" s="10" t="s">
        <v>27</v>
      </c>
      <c r="P56" s="10" t="s">
        <v>28</v>
      </c>
      <c r="Q56" s="10"/>
      <c r="R56" s="14">
        <v>1</v>
      </c>
    </row>
    <row r="57" spans="1:18" x14ac:dyDescent="0.25">
      <c r="A57" s="21">
        <v>5</v>
      </c>
      <c r="B57" s="9" t="s">
        <v>234</v>
      </c>
      <c r="C57" s="10" t="s">
        <v>35</v>
      </c>
      <c r="D57" s="11">
        <v>45693</v>
      </c>
      <c r="E57" s="10" t="s">
        <v>220</v>
      </c>
      <c r="F57" s="10" t="s">
        <v>21</v>
      </c>
      <c r="G57" s="10" t="s">
        <v>22</v>
      </c>
      <c r="H57" s="10" t="s">
        <v>235</v>
      </c>
      <c r="I57" s="10" t="s">
        <v>23</v>
      </c>
      <c r="J57" s="12" t="s">
        <v>236</v>
      </c>
      <c r="K57" s="19" t="s">
        <v>22</v>
      </c>
      <c r="L57" s="10" t="s">
        <v>73</v>
      </c>
      <c r="M57" s="11">
        <v>45693</v>
      </c>
      <c r="N57" s="11">
        <v>45693</v>
      </c>
      <c r="O57" s="10" t="s">
        <v>27</v>
      </c>
      <c r="P57" s="10" t="s">
        <v>28</v>
      </c>
      <c r="Q57" s="10"/>
      <c r="R57" s="14">
        <v>1</v>
      </c>
    </row>
    <row r="58" spans="1:18" x14ac:dyDescent="0.25">
      <c r="A58" s="21">
        <v>6</v>
      </c>
      <c r="B58" s="9" t="s">
        <v>237</v>
      </c>
      <c r="C58" s="10" t="s">
        <v>35</v>
      </c>
      <c r="D58" s="11">
        <v>45693</v>
      </c>
      <c r="E58" s="10" t="s">
        <v>224</v>
      </c>
      <c r="F58" s="10" t="s">
        <v>21</v>
      </c>
      <c r="G58" s="10" t="s">
        <v>22</v>
      </c>
      <c r="H58" s="10" t="s">
        <v>238</v>
      </c>
      <c r="I58" s="10" t="s">
        <v>23</v>
      </c>
      <c r="J58" s="12" t="s">
        <v>239</v>
      </c>
      <c r="K58" s="19" t="s">
        <v>22</v>
      </c>
      <c r="L58" s="10" t="s">
        <v>73</v>
      </c>
      <c r="M58" s="11">
        <v>45693</v>
      </c>
      <c r="N58" s="11">
        <v>45693</v>
      </c>
      <c r="O58" s="10" t="s">
        <v>27</v>
      </c>
      <c r="P58" s="10" t="s">
        <v>28</v>
      </c>
      <c r="Q58" s="10"/>
      <c r="R58" s="14">
        <v>1</v>
      </c>
    </row>
    <row r="59" spans="1:18" x14ac:dyDescent="0.25">
      <c r="A59" s="21">
        <v>7</v>
      </c>
      <c r="B59" s="9" t="s">
        <v>240</v>
      </c>
      <c r="C59" s="10" t="s">
        <v>19</v>
      </c>
      <c r="D59" s="11">
        <v>45691</v>
      </c>
      <c r="E59" s="10" t="s">
        <v>167</v>
      </c>
      <c r="F59" s="10" t="s">
        <v>42</v>
      </c>
      <c r="G59" s="10" t="s">
        <v>22</v>
      </c>
      <c r="H59" s="10" t="s">
        <v>168</v>
      </c>
      <c r="I59" s="10" t="s">
        <v>23</v>
      </c>
      <c r="J59" s="12" t="s">
        <v>241</v>
      </c>
      <c r="K59" s="13" t="s">
        <v>25</v>
      </c>
      <c r="L59" s="10" t="s">
        <v>79</v>
      </c>
      <c r="M59" s="11">
        <f>D59+14</f>
        <v>45705</v>
      </c>
      <c r="N59" s="10" t="s">
        <v>242</v>
      </c>
      <c r="O59" s="10" t="s">
        <v>27</v>
      </c>
      <c r="P59" s="10" t="s">
        <v>58</v>
      </c>
      <c r="Q59" s="17" t="s">
        <v>243</v>
      </c>
      <c r="R59" s="14">
        <v>2</v>
      </c>
    </row>
    <row r="60" spans="1:18" x14ac:dyDescent="0.25">
      <c r="A60" s="21">
        <v>8</v>
      </c>
      <c r="B60" s="9" t="s">
        <v>244</v>
      </c>
      <c r="C60" s="10" t="s">
        <v>35</v>
      </c>
      <c r="D60" s="11">
        <v>45674</v>
      </c>
      <c r="E60" s="10" t="s">
        <v>245</v>
      </c>
      <c r="F60" s="10" t="s">
        <v>21</v>
      </c>
      <c r="G60" s="10">
        <v>23897</v>
      </c>
      <c r="H60" s="10" t="s">
        <v>246</v>
      </c>
      <c r="I60" s="10" t="s">
        <v>23</v>
      </c>
      <c r="J60" s="12" t="s">
        <v>247</v>
      </c>
      <c r="K60" s="19" t="s">
        <v>22</v>
      </c>
      <c r="L60" s="10" t="s">
        <v>83</v>
      </c>
      <c r="M60" s="11">
        <v>45674</v>
      </c>
      <c r="N60" s="11">
        <v>45674</v>
      </c>
      <c r="O60" s="10" t="s">
        <v>27</v>
      </c>
      <c r="P60" s="10" t="s">
        <v>65</v>
      </c>
      <c r="Q60" s="17" t="s">
        <v>248</v>
      </c>
      <c r="R60" s="14">
        <v>3</v>
      </c>
    </row>
    <row r="61" spans="1:18" x14ac:dyDescent="0.25">
      <c r="A61" s="21">
        <v>9</v>
      </c>
      <c r="B61" s="9" t="s">
        <v>249</v>
      </c>
      <c r="C61" s="10" t="s">
        <v>35</v>
      </c>
      <c r="D61" s="11">
        <v>45674</v>
      </c>
      <c r="E61" s="10" t="s">
        <v>245</v>
      </c>
      <c r="F61" s="10" t="s">
        <v>21</v>
      </c>
      <c r="G61" s="10" t="s">
        <v>250</v>
      </c>
      <c r="H61" s="10" t="s">
        <v>246</v>
      </c>
      <c r="I61" s="10" t="s">
        <v>23</v>
      </c>
      <c r="J61" s="12" t="s">
        <v>251</v>
      </c>
      <c r="K61" s="19" t="s">
        <v>22</v>
      </c>
      <c r="L61" s="10" t="s">
        <v>83</v>
      </c>
      <c r="M61" s="11">
        <v>45674</v>
      </c>
      <c r="N61" s="11">
        <v>45674</v>
      </c>
      <c r="O61" s="10" t="s">
        <v>27</v>
      </c>
      <c r="P61" s="10" t="s">
        <v>28</v>
      </c>
      <c r="Q61" s="17" t="s">
        <v>252</v>
      </c>
      <c r="R61" s="14">
        <v>1</v>
      </c>
    </row>
    <row r="62" spans="1:18" x14ac:dyDescent="0.25">
      <c r="A62" s="21">
        <v>10</v>
      </c>
      <c r="B62" s="9" t="s">
        <v>253</v>
      </c>
      <c r="C62" s="10" t="s">
        <v>35</v>
      </c>
      <c r="D62" s="11">
        <v>45672</v>
      </c>
      <c r="E62" s="10" t="s">
        <v>119</v>
      </c>
      <c r="F62" s="10" t="s">
        <v>21</v>
      </c>
      <c r="G62" s="10" t="s">
        <v>250</v>
      </c>
      <c r="H62" s="10" t="s">
        <v>254</v>
      </c>
      <c r="I62" s="10" t="s">
        <v>23</v>
      </c>
      <c r="J62" s="12" t="s">
        <v>255</v>
      </c>
      <c r="K62" s="19" t="s">
        <v>22</v>
      </c>
      <c r="L62" s="10" t="s">
        <v>83</v>
      </c>
      <c r="M62" s="11">
        <v>45672</v>
      </c>
      <c r="N62" s="11">
        <v>45672</v>
      </c>
      <c r="O62" s="10" t="s">
        <v>27</v>
      </c>
      <c r="P62" s="10" t="s">
        <v>28</v>
      </c>
      <c r="Q62" s="17" t="s">
        <v>256</v>
      </c>
      <c r="R62" s="14">
        <v>2</v>
      </c>
    </row>
    <row r="63" spans="1:18" x14ac:dyDescent="0.25">
      <c r="A63" s="21">
        <v>11</v>
      </c>
      <c r="B63" s="9" t="s">
        <v>257</v>
      </c>
      <c r="C63" s="10" t="s">
        <v>35</v>
      </c>
      <c r="D63" s="11">
        <v>45667</v>
      </c>
      <c r="E63" s="10" t="s">
        <v>220</v>
      </c>
      <c r="F63" s="10" t="s">
        <v>21</v>
      </c>
      <c r="G63" s="10"/>
      <c r="H63" s="10" t="s">
        <v>258</v>
      </c>
      <c r="I63" s="10" t="s">
        <v>23</v>
      </c>
      <c r="J63" s="12" t="s">
        <v>259</v>
      </c>
      <c r="K63" s="19" t="s">
        <v>22</v>
      </c>
      <c r="L63" s="10" t="s">
        <v>73</v>
      </c>
      <c r="M63" s="11">
        <v>45674</v>
      </c>
      <c r="N63" s="10"/>
      <c r="O63" s="10" t="s">
        <v>27</v>
      </c>
      <c r="P63" s="10" t="s">
        <v>28</v>
      </c>
      <c r="Q63" s="10"/>
      <c r="R63" s="14">
        <v>1</v>
      </c>
    </row>
    <row r="64" spans="1:18" x14ac:dyDescent="0.25">
      <c r="A64" s="21">
        <v>12</v>
      </c>
      <c r="B64" s="9" t="s">
        <v>260</v>
      </c>
      <c r="C64" s="10" t="s">
        <v>49</v>
      </c>
      <c r="D64" s="11">
        <v>45693</v>
      </c>
      <c r="E64" s="10" t="s">
        <v>159</v>
      </c>
      <c r="F64" s="10" t="s">
        <v>21</v>
      </c>
      <c r="G64" s="10" t="s">
        <v>261</v>
      </c>
      <c r="H64" s="10" t="s">
        <v>262</v>
      </c>
      <c r="I64" s="10" t="s">
        <v>50</v>
      </c>
      <c r="J64" s="12" t="s">
        <v>263</v>
      </c>
      <c r="K64" s="19" t="s">
        <v>22</v>
      </c>
      <c r="L64" s="10" t="s">
        <v>75</v>
      </c>
      <c r="M64" s="10"/>
      <c r="N64" s="10"/>
      <c r="O64" s="10" t="s">
        <v>27</v>
      </c>
      <c r="P64" s="10" t="s">
        <v>28</v>
      </c>
      <c r="Q64" s="17" t="s">
        <v>264</v>
      </c>
      <c r="R64" s="14">
        <v>8</v>
      </c>
    </row>
    <row r="65" spans="1:18" x14ac:dyDescent="0.25">
      <c r="A65" s="21">
        <v>13</v>
      </c>
      <c r="B65" s="9" t="s">
        <v>265</v>
      </c>
      <c r="C65" s="10" t="s">
        <v>19</v>
      </c>
      <c r="D65" s="11">
        <v>45693</v>
      </c>
      <c r="E65" s="10" t="s">
        <v>125</v>
      </c>
      <c r="F65" s="10" t="s">
        <v>42</v>
      </c>
      <c r="G65" s="10">
        <v>23726</v>
      </c>
      <c r="H65" s="10" t="s">
        <v>266</v>
      </c>
      <c r="I65" s="10" t="s">
        <v>23</v>
      </c>
      <c r="J65" s="12" t="s">
        <v>267</v>
      </c>
      <c r="K65" s="19" t="s">
        <v>22</v>
      </c>
      <c r="L65" s="10" t="s">
        <v>117</v>
      </c>
      <c r="M65" s="18">
        <f>D65+0</f>
        <v>45693</v>
      </c>
      <c r="N65" s="18">
        <f>M65</f>
        <v>45693</v>
      </c>
      <c r="O65" s="10" t="s">
        <v>27</v>
      </c>
      <c r="P65" s="10" t="s">
        <v>65</v>
      </c>
      <c r="Q65" s="10"/>
      <c r="R65" s="14">
        <v>2</v>
      </c>
    </row>
    <row r="66" spans="1:18" x14ac:dyDescent="0.25">
      <c r="A66" s="21">
        <v>14</v>
      </c>
      <c r="B66" s="9" t="s">
        <v>268</v>
      </c>
      <c r="C66" s="10" t="s">
        <v>35</v>
      </c>
      <c r="D66" s="11">
        <v>45699</v>
      </c>
      <c r="E66" s="10" t="s">
        <v>269</v>
      </c>
      <c r="F66" s="10" t="s">
        <v>21</v>
      </c>
      <c r="G66" s="10" t="s">
        <v>22</v>
      </c>
      <c r="H66" s="10" t="s">
        <v>270</v>
      </c>
      <c r="I66" s="10" t="s">
        <v>50</v>
      </c>
      <c r="J66" s="12" t="s">
        <v>271</v>
      </c>
      <c r="K66" s="19" t="s">
        <v>22</v>
      </c>
      <c r="L66" s="10" t="s">
        <v>92</v>
      </c>
      <c r="M66" s="18">
        <f>D66+0</f>
        <v>45699</v>
      </c>
      <c r="N66" s="18">
        <f>M66</f>
        <v>45699</v>
      </c>
      <c r="O66" s="10" t="s">
        <v>27</v>
      </c>
      <c r="P66" s="10" t="s">
        <v>65</v>
      </c>
      <c r="Q66" s="10"/>
      <c r="R66" s="14">
        <v>1</v>
      </c>
    </row>
    <row r="67" spans="1:18" x14ac:dyDescent="0.25">
      <c r="A67" s="21">
        <v>15</v>
      </c>
      <c r="B67" s="9" t="s">
        <v>272</v>
      </c>
      <c r="C67" s="10" t="s">
        <v>19</v>
      </c>
      <c r="D67" s="11">
        <v>45700</v>
      </c>
      <c r="E67" s="10" t="s">
        <v>273</v>
      </c>
      <c r="F67" s="10" t="s">
        <v>21</v>
      </c>
      <c r="G67" s="10" t="s">
        <v>22</v>
      </c>
      <c r="H67" s="10" t="s">
        <v>274</v>
      </c>
      <c r="I67" s="10" t="s">
        <v>23</v>
      </c>
      <c r="J67" s="12" t="s">
        <v>275</v>
      </c>
      <c r="K67" s="19" t="s">
        <v>22</v>
      </c>
      <c r="L67" s="10" t="s">
        <v>44</v>
      </c>
      <c r="M67" s="18">
        <f>D67+7</f>
        <v>45707</v>
      </c>
      <c r="N67" s="18"/>
      <c r="O67" s="10" t="s">
        <v>27</v>
      </c>
      <c r="P67" s="10" t="s">
        <v>58</v>
      </c>
      <c r="Q67" s="10"/>
      <c r="R67" s="14">
        <v>1</v>
      </c>
    </row>
    <row r="68" spans="1:18" x14ac:dyDescent="0.25">
      <c r="A68" s="21">
        <v>16</v>
      </c>
      <c r="B68" s="9" t="s">
        <v>276</v>
      </c>
      <c r="C68" s="10" t="s">
        <v>19</v>
      </c>
      <c r="D68" s="11">
        <v>45700</v>
      </c>
      <c r="E68" s="10" t="s">
        <v>277</v>
      </c>
      <c r="F68" s="10" t="s">
        <v>21</v>
      </c>
      <c r="G68" s="10" t="s">
        <v>22</v>
      </c>
      <c r="H68" s="10" t="s">
        <v>56</v>
      </c>
      <c r="I68" s="10" t="s">
        <v>50</v>
      </c>
      <c r="J68" s="12" t="s">
        <v>278</v>
      </c>
      <c r="K68" s="19" t="s">
        <v>22</v>
      </c>
      <c r="L68" s="10" t="s">
        <v>83</v>
      </c>
      <c r="M68" s="10"/>
      <c r="N68" s="10"/>
      <c r="O68" s="10" t="s">
        <v>27</v>
      </c>
      <c r="P68" s="10" t="s">
        <v>58</v>
      </c>
      <c r="Q68" s="10"/>
      <c r="R68" s="14">
        <v>1</v>
      </c>
    </row>
    <row r="69" spans="1:18" x14ac:dyDescent="0.25">
      <c r="A69" s="21">
        <v>17</v>
      </c>
      <c r="B69" s="9" t="s">
        <v>279</v>
      </c>
      <c r="C69" s="10" t="s">
        <v>49</v>
      </c>
      <c r="D69" s="11">
        <v>45700</v>
      </c>
      <c r="E69" s="10" t="s">
        <v>146</v>
      </c>
      <c r="F69" s="10" t="s">
        <v>21</v>
      </c>
      <c r="G69" s="10" t="s">
        <v>22</v>
      </c>
      <c r="H69" s="10"/>
      <c r="I69" s="10" t="s">
        <v>56</v>
      </c>
      <c r="J69" s="12" t="s">
        <v>280</v>
      </c>
      <c r="K69" s="19" t="s">
        <v>22</v>
      </c>
      <c r="L69" s="10" t="s">
        <v>51</v>
      </c>
      <c r="M69" s="10"/>
      <c r="N69" s="10"/>
      <c r="O69" s="10" t="s">
        <v>27</v>
      </c>
      <c r="P69" s="10" t="s">
        <v>38</v>
      </c>
      <c r="Q69" s="10"/>
      <c r="R69" s="14">
        <v>1</v>
      </c>
    </row>
    <row r="70" spans="1:18" x14ac:dyDescent="0.25">
      <c r="A70" s="21">
        <v>18</v>
      </c>
      <c r="B70" s="9" t="s">
        <v>281</v>
      </c>
      <c r="C70" s="10" t="s">
        <v>19</v>
      </c>
      <c r="D70" s="11">
        <v>45700</v>
      </c>
      <c r="E70" s="10" t="s">
        <v>282</v>
      </c>
      <c r="F70" s="10" t="s">
        <v>21</v>
      </c>
      <c r="G70" s="10" t="s">
        <v>22</v>
      </c>
      <c r="H70" s="10" t="s">
        <v>283</v>
      </c>
      <c r="I70" s="10" t="s">
        <v>23</v>
      </c>
      <c r="J70" s="12" t="s">
        <v>284</v>
      </c>
      <c r="K70" s="19" t="s">
        <v>22</v>
      </c>
      <c r="L70" s="10" t="s">
        <v>37</v>
      </c>
      <c r="M70" s="10"/>
      <c r="N70" s="18">
        <v>45714</v>
      </c>
      <c r="O70" s="10" t="s">
        <v>27</v>
      </c>
      <c r="P70" s="10" t="s">
        <v>28</v>
      </c>
      <c r="Q70" s="17" t="s">
        <v>285</v>
      </c>
      <c r="R70" s="14">
        <v>1</v>
      </c>
    </row>
    <row r="71" spans="1:18" x14ac:dyDescent="0.25">
      <c r="A71" s="21">
        <v>19</v>
      </c>
      <c r="B71" s="9" t="s">
        <v>286</v>
      </c>
      <c r="C71" s="10" t="s">
        <v>49</v>
      </c>
      <c r="D71" s="11">
        <v>45701</v>
      </c>
      <c r="E71" s="10" t="s">
        <v>287</v>
      </c>
      <c r="F71" s="10" t="s">
        <v>21</v>
      </c>
      <c r="G71" s="10" t="s">
        <v>22</v>
      </c>
      <c r="H71" s="10" t="s">
        <v>288</v>
      </c>
      <c r="I71" s="10" t="s">
        <v>50</v>
      </c>
      <c r="J71" s="12" t="s">
        <v>289</v>
      </c>
      <c r="K71" s="19" t="s">
        <v>22</v>
      </c>
      <c r="L71" s="10" t="s">
        <v>51</v>
      </c>
      <c r="M71" s="10"/>
      <c r="N71" s="10"/>
      <c r="O71" s="10" t="s">
        <v>27</v>
      </c>
      <c r="P71" s="10" t="s">
        <v>45</v>
      </c>
      <c r="Q71" s="10"/>
      <c r="R71" s="14">
        <v>1</v>
      </c>
    </row>
    <row r="72" spans="1:18" x14ac:dyDescent="0.25">
      <c r="A72" s="21">
        <v>20</v>
      </c>
      <c r="B72" s="9" t="s">
        <v>290</v>
      </c>
      <c r="C72" s="10" t="s">
        <v>19</v>
      </c>
      <c r="D72" s="11">
        <v>45701</v>
      </c>
      <c r="E72" s="10" t="s">
        <v>291</v>
      </c>
      <c r="F72" s="10" t="s">
        <v>42</v>
      </c>
      <c r="G72" s="10" t="s">
        <v>22</v>
      </c>
      <c r="H72" s="10" t="s">
        <v>292</v>
      </c>
      <c r="I72" s="10" t="s">
        <v>68</v>
      </c>
      <c r="J72" s="12" t="s">
        <v>293</v>
      </c>
      <c r="K72" s="13" t="s">
        <v>25</v>
      </c>
      <c r="L72" s="10" t="s">
        <v>44</v>
      </c>
      <c r="M72" s="10"/>
      <c r="N72" s="10"/>
      <c r="O72" s="10" t="s">
        <v>27</v>
      </c>
      <c r="P72" s="10" t="s">
        <v>28</v>
      </c>
      <c r="Q72" s="10"/>
      <c r="R72" s="14">
        <v>1</v>
      </c>
    </row>
    <row r="73" spans="1:18" ht="13.5" customHeight="1" x14ac:dyDescent="0.25">
      <c r="A73" s="21">
        <v>21</v>
      </c>
      <c r="B73" s="9" t="s">
        <v>294</v>
      </c>
      <c r="C73" s="10" t="s">
        <v>49</v>
      </c>
      <c r="D73" s="11">
        <v>45685</v>
      </c>
      <c r="E73" s="10" t="s">
        <v>211</v>
      </c>
      <c r="F73" s="10" t="s">
        <v>21</v>
      </c>
      <c r="G73" s="10" t="s">
        <v>22</v>
      </c>
      <c r="H73" s="10" t="s">
        <v>212</v>
      </c>
      <c r="I73" s="10" t="s">
        <v>56</v>
      </c>
      <c r="J73" s="22" t="s">
        <v>295</v>
      </c>
      <c r="K73" s="19" t="s">
        <v>22</v>
      </c>
      <c r="L73" s="10" t="s">
        <v>108</v>
      </c>
      <c r="M73" s="10" t="s">
        <v>296</v>
      </c>
      <c r="N73" s="10" t="s">
        <v>296</v>
      </c>
      <c r="O73" s="10" t="s">
        <v>27</v>
      </c>
      <c r="P73" s="10" t="s">
        <v>28</v>
      </c>
      <c r="Q73" s="23" t="s">
        <v>297</v>
      </c>
      <c r="R73" s="14">
        <v>32</v>
      </c>
    </row>
    <row r="74" spans="1:18" x14ac:dyDescent="0.25">
      <c r="A74" s="21">
        <v>22</v>
      </c>
      <c r="B74" s="9" t="s">
        <v>298</v>
      </c>
      <c r="C74" s="10" t="s">
        <v>19</v>
      </c>
      <c r="D74" s="11">
        <v>45702</v>
      </c>
      <c r="E74" s="10" t="s">
        <v>119</v>
      </c>
      <c r="F74" s="10" t="s">
        <v>21</v>
      </c>
      <c r="G74" s="10" t="s">
        <v>22</v>
      </c>
      <c r="H74" s="10"/>
      <c r="I74" s="10" t="s">
        <v>23</v>
      </c>
      <c r="J74" s="12" t="s">
        <v>299</v>
      </c>
      <c r="K74" s="13" t="s">
        <v>25</v>
      </c>
      <c r="L74" s="10" t="s">
        <v>79</v>
      </c>
      <c r="M74" s="18">
        <v>45709</v>
      </c>
      <c r="N74" s="10"/>
      <c r="O74" s="10" t="s">
        <v>27</v>
      </c>
      <c r="P74" s="10" t="s">
        <v>28</v>
      </c>
      <c r="Q74" s="17" t="s">
        <v>300</v>
      </c>
      <c r="R74" s="14">
        <v>1</v>
      </c>
    </row>
    <row r="75" spans="1:18" x14ac:dyDescent="0.25">
      <c r="A75" s="21">
        <v>23</v>
      </c>
      <c r="B75" s="9" t="s">
        <v>301</v>
      </c>
      <c r="C75" s="10" t="s">
        <v>19</v>
      </c>
      <c r="D75" s="11">
        <v>45705</v>
      </c>
      <c r="E75" s="10" t="s">
        <v>302</v>
      </c>
      <c r="F75" s="10" t="s">
        <v>110</v>
      </c>
      <c r="G75" s="10">
        <v>24000</v>
      </c>
      <c r="H75" s="10" t="s">
        <v>303</v>
      </c>
      <c r="I75" s="10" t="s">
        <v>23</v>
      </c>
      <c r="J75" s="12" t="s">
        <v>304</v>
      </c>
      <c r="K75" s="19" t="s">
        <v>22</v>
      </c>
      <c r="L75" s="10" t="s">
        <v>79</v>
      </c>
      <c r="M75" s="18">
        <f>D75+16</f>
        <v>45721</v>
      </c>
      <c r="N75" s="10"/>
      <c r="O75" s="10" t="s">
        <v>27</v>
      </c>
      <c r="P75" s="10" t="s">
        <v>65</v>
      </c>
      <c r="Q75" s="10"/>
      <c r="R75" s="14">
        <v>1</v>
      </c>
    </row>
    <row r="76" spans="1:18" x14ac:dyDescent="0.25">
      <c r="A76" s="21">
        <v>24</v>
      </c>
      <c r="B76" s="9" t="s">
        <v>305</v>
      </c>
      <c r="C76" s="10" t="s">
        <v>19</v>
      </c>
      <c r="D76" s="11">
        <v>45702</v>
      </c>
      <c r="E76" s="10" t="s">
        <v>306</v>
      </c>
      <c r="F76" s="10" t="s">
        <v>21</v>
      </c>
      <c r="G76" s="10" t="s">
        <v>22</v>
      </c>
      <c r="H76" s="10" t="s">
        <v>307</v>
      </c>
      <c r="I76" s="10" t="s">
        <v>23</v>
      </c>
      <c r="J76" s="12" t="s">
        <v>308</v>
      </c>
      <c r="K76" s="13" t="s">
        <v>25</v>
      </c>
      <c r="L76" s="10" t="s">
        <v>26</v>
      </c>
      <c r="M76" s="18">
        <f>D76+35</f>
        <v>45737</v>
      </c>
      <c r="N76" s="10"/>
      <c r="O76" s="10" t="s">
        <v>39</v>
      </c>
      <c r="P76" s="10" t="s">
        <v>28</v>
      </c>
      <c r="Q76" s="10"/>
      <c r="R76" s="14">
        <v>5</v>
      </c>
    </row>
    <row r="77" spans="1:18" x14ac:dyDescent="0.25">
      <c r="A77" s="21">
        <v>25</v>
      </c>
      <c r="B77" s="9" t="s">
        <v>309</v>
      </c>
      <c r="C77" s="10" t="s">
        <v>49</v>
      </c>
      <c r="D77" s="11">
        <v>45712</v>
      </c>
      <c r="E77" s="10" t="s">
        <v>310</v>
      </c>
      <c r="F77" s="10" t="s">
        <v>200</v>
      </c>
      <c r="G77" s="10" t="s">
        <v>22</v>
      </c>
      <c r="H77" s="10" t="s">
        <v>311</v>
      </c>
      <c r="I77" s="10" t="s">
        <v>50</v>
      </c>
      <c r="J77" s="12" t="s">
        <v>312</v>
      </c>
      <c r="K77" s="19" t="s">
        <v>22</v>
      </c>
      <c r="L77" s="10" t="s">
        <v>73</v>
      </c>
      <c r="M77" s="11">
        <f>D77+4</f>
        <v>45716</v>
      </c>
      <c r="N77" s="10"/>
      <c r="O77" s="10" t="s">
        <v>27</v>
      </c>
      <c r="P77" s="10" t="s">
        <v>28</v>
      </c>
      <c r="Q77" s="10"/>
      <c r="R77" s="14">
        <v>1</v>
      </c>
    </row>
    <row r="78" spans="1:18" x14ac:dyDescent="0.25">
      <c r="A78" s="21">
        <v>26</v>
      </c>
      <c r="B78" s="9" t="s">
        <v>313</v>
      </c>
      <c r="C78" s="10" t="s">
        <v>19</v>
      </c>
      <c r="D78" s="11">
        <v>45708</v>
      </c>
      <c r="E78" s="10" t="s">
        <v>314</v>
      </c>
      <c r="F78" s="10" t="s">
        <v>42</v>
      </c>
      <c r="G78" s="10" t="s">
        <v>22</v>
      </c>
      <c r="H78" s="10"/>
      <c r="I78" s="10" t="s">
        <v>23</v>
      </c>
      <c r="J78" s="12" t="s">
        <v>315</v>
      </c>
      <c r="K78" s="19" t="s">
        <v>22</v>
      </c>
      <c r="L78" s="10" t="s">
        <v>83</v>
      </c>
      <c r="M78" s="11">
        <f>D78+4</f>
        <v>45712</v>
      </c>
      <c r="N78" s="10"/>
      <c r="O78" s="10" t="s">
        <v>27</v>
      </c>
      <c r="P78" s="10" t="s">
        <v>28</v>
      </c>
      <c r="Q78" s="10"/>
      <c r="R78" s="14">
        <v>1</v>
      </c>
    </row>
    <row r="79" spans="1:18" x14ac:dyDescent="0.25">
      <c r="A79" s="21">
        <v>27</v>
      </c>
      <c r="B79" s="9" t="s">
        <v>316</v>
      </c>
      <c r="C79" s="10" t="s">
        <v>19</v>
      </c>
      <c r="D79" s="11">
        <v>45708</v>
      </c>
      <c r="E79" s="10" t="s">
        <v>317</v>
      </c>
      <c r="F79" s="10" t="s">
        <v>21</v>
      </c>
      <c r="G79" s="10" t="s">
        <v>22</v>
      </c>
      <c r="H79" s="10"/>
      <c r="I79" s="10" t="s">
        <v>23</v>
      </c>
      <c r="J79" s="12" t="s">
        <v>318</v>
      </c>
      <c r="K79" s="19" t="s">
        <v>22</v>
      </c>
      <c r="L79" s="10" t="s">
        <v>37</v>
      </c>
      <c r="M79" s="11">
        <f>D79+5</f>
        <v>45713</v>
      </c>
      <c r="N79" s="10"/>
      <c r="O79" s="10" t="s">
        <v>27</v>
      </c>
      <c r="P79" s="10" t="s">
        <v>45</v>
      </c>
      <c r="Q79" s="10"/>
      <c r="R79" s="14">
        <v>1</v>
      </c>
    </row>
    <row r="80" spans="1:18" x14ac:dyDescent="0.25">
      <c r="A80" s="21">
        <v>28</v>
      </c>
      <c r="B80" s="9" t="s">
        <v>319</v>
      </c>
      <c r="C80" s="10" t="s">
        <v>19</v>
      </c>
      <c r="D80" s="11">
        <v>45709</v>
      </c>
      <c r="E80" s="10" t="s">
        <v>320</v>
      </c>
      <c r="F80" s="10" t="s">
        <v>21</v>
      </c>
      <c r="G80" s="10" t="s">
        <v>22</v>
      </c>
      <c r="H80" s="10"/>
      <c r="I80" s="10" t="s">
        <v>23</v>
      </c>
      <c r="J80" s="12" t="s">
        <v>321</v>
      </c>
      <c r="K80" s="19" t="s">
        <v>22</v>
      </c>
      <c r="L80" s="10" t="s">
        <v>64</v>
      </c>
      <c r="M80" s="11">
        <f>D80+5</f>
        <v>45714</v>
      </c>
      <c r="N80" s="10"/>
      <c r="O80" s="10" t="s">
        <v>27</v>
      </c>
      <c r="P80" s="10" t="s">
        <v>45</v>
      </c>
      <c r="Q80" s="10"/>
      <c r="R80" s="14">
        <v>1</v>
      </c>
    </row>
    <row r="81" spans="1:19" x14ac:dyDescent="0.25">
      <c r="A81" s="21">
        <v>29</v>
      </c>
      <c r="B81" s="9" t="s">
        <v>322</v>
      </c>
      <c r="C81" s="10" t="s">
        <v>19</v>
      </c>
      <c r="D81" s="11">
        <v>45712</v>
      </c>
      <c r="E81" s="10" t="s">
        <v>314</v>
      </c>
      <c r="F81" s="10" t="s">
        <v>42</v>
      </c>
      <c r="G81" s="10" t="s">
        <v>22</v>
      </c>
      <c r="H81" s="10" t="s">
        <v>323</v>
      </c>
      <c r="I81" s="10" t="s">
        <v>23</v>
      </c>
      <c r="J81" s="12" t="s">
        <v>324</v>
      </c>
      <c r="K81" s="19" t="s">
        <v>22</v>
      </c>
      <c r="L81" s="10" t="s">
        <v>95</v>
      </c>
      <c r="M81" s="11">
        <v>45597</v>
      </c>
      <c r="N81" s="10" t="s">
        <v>325</v>
      </c>
      <c r="O81" s="10" t="s">
        <v>27</v>
      </c>
      <c r="P81" s="10" t="s">
        <v>28</v>
      </c>
      <c r="Q81" s="10"/>
      <c r="R81" s="14">
        <v>1</v>
      </c>
    </row>
    <row r="82" spans="1:19" x14ac:dyDescent="0.25">
      <c r="A82" s="21">
        <v>30</v>
      </c>
      <c r="B82" s="9" t="s">
        <v>326</v>
      </c>
      <c r="C82" s="10" t="s">
        <v>49</v>
      </c>
      <c r="D82" s="11">
        <v>45712</v>
      </c>
      <c r="E82" s="10" t="s">
        <v>327</v>
      </c>
      <c r="F82" s="10" t="s">
        <v>328</v>
      </c>
      <c r="G82" s="10">
        <v>23927</v>
      </c>
      <c r="H82" s="10"/>
      <c r="I82" s="10" t="s">
        <v>50</v>
      </c>
      <c r="J82" s="12" t="s">
        <v>329</v>
      </c>
      <c r="K82" s="19" t="s">
        <v>22</v>
      </c>
      <c r="L82" s="10" t="s">
        <v>108</v>
      </c>
      <c r="M82" s="11">
        <f>D82</f>
        <v>45712</v>
      </c>
      <c r="N82" s="11">
        <f>M82</f>
        <v>45712</v>
      </c>
      <c r="O82" s="10" t="s">
        <v>39</v>
      </c>
      <c r="P82" s="10" t="s">
        <v>58</v>
      </c>
      <c r="Q82" s="10"/>
      <c r="R82" s="14">
        <v>1</v>
      </c>
    </row>
    <row r="83" spans="1:19" x14ac:dyDescent="0.25">
      <c r="A83" s="21">
        <v>31</v>
      </c>
      <c r="B83" s="9" t="s">
        <v>330</v>
      </c>
      <c r="C83" s="10" t="s">
        <v>49</v>
      </c>
      <c r="D83" s="11">
        <v>45712</v>
      </c>
      <c r="E83" s="10" t="s">
        <v>331</v>
      </c>
      <c r="F83" s="10"/>
      <c r="G83" s="10" t="s">
        <v>22</v>
      </c>
      <c r="H83" s="10"/>
      <c r="I83" s="10" t="s">
        <v>50</v>
      </c>
      <c r="J83" s="12" t="s">
        <v>332</v>
      </c>
      <c r="K83" s="19" t="s">
        <v>22</v>
      </c>
      <c r="L83" s="10" t="s">
        <v>108</v>
      </c>
      <c r="M83" s="10"/>
      <c r="N83" s="10"/>
      <c r="O83" s="10" t="s">
        <v>39</v>
      </c>
      <c r="P83" s="10" t="s">
        <v>65</v>
      </c>
      <c r="Q83" s="10"/>
      <c r="R83" s="14">
        <v>1</v>
      </c>
    </row>
    <row r="84" spans="1:19" x14ac:dyDescent="0.25">
      <c r="A84" s="21">
        <v>32</v>
      </c>
      <c r="B84" s="9" t="s">
        <v>333</v>
      </c>
      <c r="C84" s="10" t="s">
        <v>49</v>
      </c>
      <c r="D84" s="11">
        <v>45712</v>
      </c>
      <c r="E84" s="10" t="s">
        <v>211</v>
      </c>
      <c r="F84" s="10"/>
      <c r="G84" s="10" t="s">
        <v>22</v>
      </c>
      <c r="H84" s="10"/>
      <c r="I84" s="10" t="s">
        <v>50</v>
      </c>
      <c r="J84" s="12" t="s">
        <v>334</v>
      </c>
      <c r="K84" s="19" t="s">
        <v>22</v>
      </c>
      <c r="L84" s="10" t="s">
        <v>51</v>
      </c>
      <c r="M84" s="10"/>
      <c r="N84" s="10"/>
      <c r="O84" s="10" t="s">
        <v>27</v>
      </c>
      <c r="P84" s="10" t="s">
        <v>65</v>
      </c>
      <c r="Q84" s="10"/>
      <c r="R84" s="14">
        <v>1</v>
      </c>
    </row>
    <row r="85" spans="1:19" x14ac:dyDescent="0.25">
      <c r="A85" s="21">
        <v>33</v>
      </c>
      <c r="B85" s="9" t="s">
        <v>335</v>
      </c>
      <c r="C85" s="10" t="s">
        <v>19</v>
      </c>
      <c r="D85" s="11">
        <v>45709</v>
      </c>
      <c r="E85" s="10" t="s">
        <v>336</v>
      </c>
      <c r="F85" s="10" t="s">
        <v>42</v>
      </c>
      <c r="G85" s="10" t="s">
        <v>22</v>
      </c>
      <c r="H85" s="10" t="s">
        <v>337</v>
      </c>
      <c r="I85" s="10" t="s">
        <v>23</v>
      </c>
      <c r="J85" s="12" t="s">
        <v>338</v>
      </c>
      <c r="K85" s="19" t="s">
        <v>22</v>
      </c>
      <c r="L85" s="10" t="s">
        <v>83</v>
      </c>
      <c r="M85" s="18">
        <v>45712</v>
      </c>
      <c r="N85" s="18">
        <v>45712</v>
      </c>
      <c r="O85" s="10" t="s">
        <v>27</v>
      </c>
      <c r="P85" s="10" t="s">
        <v>45</v>
      </c>
      <c r="Q85" s="10"/>
      <c r="R85" s="14">
        <v>1</v>
      </c>
    </row>
    <row r="86" spans="1:19" x14ac:dyDescent="0.25">
      <c r="A86" s="21">
        <v>34</v>
      </c>
      <c r="B86" s="9" t="s">
        <v>339</v>
      </c>
      <c r="C86" s="10" t="s">
        <v>35</v>
      </c>
      <c r="D86" s="11">
        <v>45699</v>
      </c>
      <c r="E86" s="10" t="s">
        <v>119</v>
      </c>
      <c r="F86" s="10" t="s">
        <v>21</v>
      </c>
      <c r="G86" s="10" t="s">
        <v>22</v>
      </c>
      <c r="H86" s="10" t="s">
        <v>340</v>
      </c>
      <c r="I86" s="10" t="s">
        <v>23</v>
      </c>
      <c r="J86" s="12" t="s">
        <v>341</v>
      </c>
      <c r="K86" s="19" t="s">
        <v>22</v>
      </c>
      <c r="L86" s="10" t="s">
        <v>73</v>
      </c>
      <c r="M86" s="18">
        <f>D86+0</f>
        <v>45699</v>
      </c>
      <c r="N86" s="18">
        <f>M86</f>
        <v>45699</v>
      </c>
      <c r="O86" s="10" t="s">
        <v>27</v>
      </c>
      <c r="P86" s="10" t="s">
        <v>28</v>
      </c>
      <c r="Q86" s="10"/>
      <c r="R86" s="14">
        <v>4</v>
      </c>
    </row>
    <row r="87" spans="1:19" x14ac:dyDescent="0.25">
      <c r="A87" s="21">
        <v>35</v>
      </c>
      <c r="B87" s="9" t="s">
        <v>342</v>
      </c>
      <c r="C87" s="10" t="s">
        <v>35</v>
      </c>
      <c r="D87" s="11">
        <v>45701</v>
      </c>
      <c r="E87" s="10" t="s">
        <v>343</v>
      </c>
      <c r="F87" s="10" t="s">
        <v>21</v>
      </c>
      <c r="G87" s="10">
        <v>23919</v>
      </c>
      <c r="H87" s="10" t="s">
        <v>344</v>
      </c>
      <c r="I87" s="10" t="s">
        <v>23</v>
      </c>
      <c r="J87" s="12" t="s">
        <v>345</v>
      </c>
      <c r="K87" s="19" t="s">
        <v>22</v>
      </c>
      <c r="L87" s="10" t="s">
        <v>73</v>
      </c>
      <c r="M87" s="18">
        <f>D87+0</f>
        <v>45701</v>
      </c>
      <c r="N87" s="18">
        <v>45701</v>
      </c>
      <c r="O87" s="10" t="s">
        <v>27</v>
      </c>
      <c r="P87" s="10" t="s">
        <v>65</v>
      </c>
      <c r="Q87" s="10"/>
      <c r="R87" s="14">
        <v>4</v>
      </c>
    </row>
    <row r="88" spans="1:19" x14ac:dyDescent="0.25">
      <c r="A88" s="21">
        <v>36</v>
      </c>
      <c r="B88" s="9" t="s">
        <v>346</v>
      </c>
      <c r="C88" s="10" t="s">
        <v>35</v>
      </c>
      <c r="D88" s="11">
        <v>45708</v>
      </c>
      <c r="E88" s="10" t="s">
        <v>320</v>
      </c>
      <c r="F88" s="10" t="s">
        <v>21</v>
      </c>
      <c r="G88" s="10" t="s">
        <v>22</v>
      </c>
      <c r="H88" s="10" t="s">
        <v>347</v>
      </c>
      <c r="I88" s="10" t="s">
        <v>23</v>
      </c>
      <c r="J88" s="12" t="s">
        <v>348</v>
      </c>
      <c r="K88" s="19" t="s">
        <v>22</v>
      </c>
      <c r="L88" s="10" t="s">
        <v>73</v>
      </c>
      <c r="M88" s="18">
        <v>45708</v>
      </c>
      <c r="N88" s="18">
        <v>45708</v>
      </c>
      <c r="O88" s="10" t="s">
        <v>27</v>
      </c>
      <c r="P88" s="10" t="s">
        <v>65</v>
      </c>
      <c r="Q88" s="10"/>
      <c r="R88" s="14">
        <v>2</v>
      </c>
    </row>
    <row r="89" spans="1:19" x14ac:dyDescent="0.25">
      <c r="A89" s="21">
        <v>37</v>
      </c>
      <c r="B89" s="9" t="s">
        <v>349</v>
      </c>
      <c r="C89" s="10" t="s">
        <v>35</v>
      </c>
      <c r="D89" s="11">
        <v>45709</v>
      </c>
      <c r="E89" s="10" t="s">
        <v>220</v>
      </c>
      <c r="F89" s="10" t="s">
        <v>21</v>
      </c>
      <c r="G89" s="10" t="s">
        <v>22</v>
      </c>
      <c r="H89" s="10" t="s">
        <v>350</v>
      </c>
      <c r="I89" s="10" t="s">
        <v>23</v>
      </c>
      <c r="J89" s="12" t="s">
        <v>351</v>
      </c>
      <c r="K89" s="19" t="s">
        <v>22</v>
      </c>
      <c r="L89" s="10" t="s">
        <v>73</v>
      </c>
      <c r="M89" s="18">
        <v>45709</v>
      </c>
      <c r="N89" s="18">
        <v>45709</v>
      </c>
      <c r="O89" s="10" t="s">
        <v>27</v>
      </c>
      <c r="P89" s="10" t="s">
        <v>28</v>
      </c>
      <c r="Q89" s="10"/>
      <c r="R89" s="14">
        <v>2</v>
      </c>
    </row>
    <row r="90" spans="1:19" x14ac:dyDescent="0.25">
      <c r="A90" s="21">
        <v>38</v>
      </c>
      <c r="B90" s="9" t="s">
        <v>352</v>
      </c>
      <c r="C90" s="10" t="s">
        <v>35</v>
      </c>
      <c r="D90" s="11">
        <v>45713</v>
      </c>
      <c r="E90" s="10" t="s">
        <v>245</v>
      </c>
      <c r="F90" s="10" t="s">
        <v>21</v>
      </c>
      <c r="G90" s="10" t="s">
        <v>22</v>
      </c>
      <c r="H90" s="10" t="s">
        <v>353</v>
      </c>
      <c r="I90" s="10" t="s">
        <v>23</v>
      </c>
      <c r="J90" s="12" t="s">
        <v>354</v>
      </c>
      <c r="K90" s="19" t="s">
        <v>22</v>
      </c>
      <c r="L90" s="10" t="s">
        <v>73</v>
      </c>
      <c r="M90" s="18">
        <v>45713</v>
      </c>
      <c r="N90" s="18">
        <v>45713</v>
      </c>
      <c r="O90" s="10" t="s">
        <v>27</v>
      </c>
      <c r="P90" s="10" t="s">
        <v>65</v>
      </c>
      <c r="Q90" s="10"/>
      <c r="R90" s="14">
        <v>2</v>
      </c>
    </row>
    <row r="91" spans="1:19" x14ac:dyDescent="0.25">
      <c r="A91" s="21">
        <v>39</v>
      </c>
      <c r="B91" s="9" t="s">
        <v>355</v>
      </c>
      <c r="C91" s="10" t="s">
        <v>19</v>
      </c>
      <c r="D91" s="11">
        <v>45705</v>
      </c>
      <c r="E91" s="10" t="s">
        <v>116</v>
      </c>
      <c r="F91" s="10" t="s">
        <v>21</v>
      </c>
      <c r="G91" s="10" t="s">
        <v>22</v>
      </c>
      <c r="H91" s="10" t="s">
        <v>356</v>
      </c>
      <c r="I91" s="10" t="s">
        <v>23</v>
      </c>
      <c r="J91" s="12" t="s">
        <v>357</v>
      </c>
      <c r="K91" s="19" t="s">
        <v>22</v>
      </c>
      <c r="L91" s="10" t="s">
        <v>73</v>
      </c>
      <c r="M91" s="18">
        <f>D91</f>
        <v>45705</v>
      </c>
      <c r="N91" s="18">
        <f>M91</f>
        <v>45705</v>
      </c>
      <c r="O91" s="10" t="s">
        <v>27</v>
      </c>
      <c r="P91" s="10" t="s">
        <v>28</v>
      </c>
      <c r="Q91" s="10"/>
      <c r="R91" s="14">
        <v>1</v>
      </c>
    </row>
    <row r="92" spans="1:19" x14ac:dyDescent="0.25">
      <c r="A92" s="21">
        <v>40</v>
      </c>
      <c r="B92" s="9" t="s">
        <v>358</v>
      </c>
      <c r="C92" s="10" t="s">
        <v>19</v>
      </c>
      <c r="D92" s="11">
        <v>45658</v>
      </c>
      <c r="E92" s="10" t="s">
        <v>359</v>
      </c>
      <c r="F92" s="10" t="s">
        <v>42</v>
      </c>
      <c r="G92" s="10" t="s">
        <v>22</v>
      </c>
      <c r="H92" s="10" t="s">
        <v>360</v>
      </c>
      <c r="I92" s="10" t="s">
        <v>23</v>
      </c>
      <c r="J92" s="12" t="s">
        <v>361</v>
      </c>
      <c r="K92" s="19" t="s">
        <v>22</v>
      </c>
      <c r="L92" s="10" t="s">
        <v>117</v>
      </c>
      <c r="M92" s="18">
        <v>45716</v>
      </c>
      <c r="N92" s="18">
        <v>45716</v>
      </c>
      <c r="O92" s="10" t="s">
        <v>39</v>
      </c>
      <c r="P92" s="10" t="s">
        <v>28</v>
      </c>
      <c r="Q92" s="10"/>
      <c r="R92" s="14">
        <v>4</v>
      </c>
    </row>
    <row r="93" spans="1:19" x14ac:dyDescent="0.25">
      <c r="A93" s="21">
        <v>41</v>
      </c>
      <c r="B93" s="9" t="s">
        <v>362</v>
      </c>
      <c r="C93" s="10" t="s">
        <v>19</v>
      </c>
      <c r="D93" s="11">
        <v>45714</v>
      </c>
      <c r="E93" s="10" t="s">
        <v>363</v>
      </c>
      <c r="F93" s="10" t="s">
        <v>21</v>
      </c>
      <c r="G93" s="10">
        <v>23947</v>
      </c>
      <c r="H93" s="10" t="s">
        <v>246</v>
      </c>
      <c r="I93" s="1" t="s">
        <v>23</v>
      </c>
      <c r="J93" s="12" t="s">
        <v>364</v>
      </c>
      <c r="K93" s="19" t="s">
        <v>22</v>
      </c>
      <c r="L93" s="10" t="s">
        <v>83</v>
      </c>
      <c r="M93" s="18">
        <v>45714</v>
      </c>
      <c r="N93" s="18">
        <v>45714</v>
      </c>
      <c r="O93" s="10" t="s">
        <v>27</v>
      </c>
      <c r="P93" s="10" t="s">
        <v>65</v>
      </c>
      <c r="Q93" s="10"/>
      <c r="R93" s="14">
        <v>2.5</v>
      </c>
    </row>
    <row r="94" spans="1:19" x14ac:dyDescent="0.25">
      <c r="A94" s="21">
        <v>42</v>
      </c>
      <c r="B94" s="9" t="s">
        <v>365</v>
      </c>
      <c r="C94" s="10" t="s">
        <v>35</v>
      </c>
      <c r="D94" s="11">
        <v>45713</v>
      </c>
      <c r="E94" s="10" t="s">
        <v>363</v>
      </c>
      <c r="F94" s="10" t="s">
        <v>21</v>
      </c>
      <c r="G94" s="10" t="s">
        <v>22</v>
      </c>
      <c r="H94" s="10" t="s">
        <v>353</v>
      </c>
      <c r="I94" s="10" t="s">
        <v>23</v>
      </c>
      <c r="J94" s="12" t="s">
        <v>366</v>
      </c>
      <c r="K94" s="19" t="s">
        <v>22</v>
      </c>
      <c r="L94" s="10" t="s">
        <v>73</v>
      </c>
      <c r="M94" s="18">
        <v>45713</v>
      </c>
      <c r="N94" s="18">
        <v>45713</v>
      </c>
      <c r="O94" s="10" t="s">
        <v>27</v>
      </c>
      <c r="P94" s="10" t="s">
        <v>65</v>
      </c>
      <c r="Q94" s="10"/>
      <c r="R94" s="14">
        <v>2</v>
      </c>
    </row>
    <row r="95" spans="1:19" x14ac:dyDescent="0.25">
      <c r="A95" s="21">
        <v>43</v>
      </c>
      <c r="B95" s="9" t="s">
        <v>367</v>
      </c>
      <c r="C95" s="10" t="s">
        <v>35</v>
      </c>
      <c r="D95" s="11">
        <v>45714</v>
      </c>
      <c r="E95" s="10" t="s">
        <v>119</v>
      </c>
      <c r="F95" s="10" t="s">
        <v>21</v>
      </c>
      <c r="G95" s="10" t="s">
        <v>22</v>
      </c>
      <c r="H95" s="10" t="s">
        <v>368</v>
      </c>
      <c r="I95" s="10" t="s">
        <v>23</v>
      </c>
      <c r="J95" s="12" t="s">
        <v>369</v>
      </c>
      <c r="K95" s="19" t="s">
        <v>22</v>
      </c>
      <c r="L95" s="10" t="s">
        <v>73</v>
      </c>
      <c r="M95" s="18">
        <v>45714</v>
      </c>
      <c r="N95" s="18">
        <v>45714</v>
      </c>
      <c r="O95" s="10" t="s">
        <v>27</v>
      </c>
      <c r="P95" s="10" t="s">
        <v>28</v>
      </c>
      <c r="Q95" s="10"/>
      <c r="R95" s="14">
        <v>2</v>
      </c>
    </row>
    <row r="96" spans="1:19" x14ac:dyDescent="0.25">
      <c r="A96" s="21">
        <v>44</v>
      </c>
      <c r="B96" s="9" t="s">
        <v>370</v>
      </c>
      <c r="C96" s="10" t="s">
        <v>35</v>
      </c>
      <c r="D96" s="11">
        <v>45714</v>
      </c>
      <c r="E96" s="10" t="s">
        <v>119</v>
      </c>
      <c r="F96" s="10" t="s">
        <v>21</v>
      </c>
      <c r="G96" s="10" t="s">
        <v>22</v>
      </c>
      <c r="H96" s="10" t="s">
        <v>371</v>
      </c>
      <c r="I96" s="10" t="s">
        <v>23</v>
      </c>
      <c r="J96" s="12" t="s">
        <v>372</v>
      </c>
      <c r="K96" s="19" t="s">
        <v>22</v>
      </c>
      <c r="L96" s="10" t="s">
        <v>73</v>
      </c>
      <c r="M96" s="18">
        <v>45714</v>
      </c>
      <c r="N96" s="18">
        <v>45714</v>
      </c>
      <c r="O96" s="10" t="s">
        <v>27</v>
      </c>
      <c r="P96" s="10" t="s">
        <v>28</v>
      </c>
      <c r="Q96" s="10"/>
      <c r="R96" s="14">
        <v>1</v>
      </c>
      <c r="S96" s="24">
        <f>SUM(R53:R96)</f>
        <v>111.5</v>
      </c>
    </row>
    <row r="97" spans="1:18" x14ac:dyDescent="0.25">
      <c r="A97" s="25">
        <v>1</v>
      </c>
      <c r="B97" s="9" t="s">
        <v>373</v>
      </c>
      <c r="C97" s="10" t="s">
        <v>19</v>
      </c>
      <c r="D97" s="11">
        <v>45722</v>
      </c>
      <c r="E97" s="10" t="s">
        <v>374</v>
      </c>
      <c r="F97" s="10" t="s">
        <v>375</v>
      </c>
      <c r="G97" s="10" t="s">
        <v>22</v>
      </c>
      <c r="H97" s="10" t="s">
        <v>376</v>
      </c>
      <c r="I97" s="10" t="s">
        <v>23</v>
      </c>
      <c r="J97" s="12" t="s">
        <v>377</v>
      </c>
      <c r="K97" s="13" t="s">
        <v>25</v>
      </c>
      <c r="L97" s="10" t="s">
        <v>26</v>
      </c>
      <c r="M97" s="18">
        <f>D97+4</f>
        <v>45726</v>
      </c>
      <c r="N97" s="18">
        <f>M97</f>
        <v>45726</v>
      </c>
      <c r="O97" s="10" t="s">
        <v>39</v>
      </c>
      <c r="P97" s="10" t="s">
        <v>28</v>
      </c>
      <c r="Q97" s="10"/>
      <c r="R97" s="14">
        <v>3</v>
      </c>
    </row>
    <row r="98" spans="1:18" x14ac:dyDescent="0.25">
      <c r="A98" s="25">
        <v>2</v>
      </c>
      <c r="B98" s="9" t="s">
        <v>378</v>
      </c>
      <c r="C98" s="10" t="s">
        <v>19</v>
      </c>
      <c r="D98" s="11">
        <v>45723</v>
      </c>
      <c r="E98" s="10" t="s">
        <v>379</v>
      </c>
      <c r="F98" s="10" t="s">
        <v>42</v>
      </c>
      <c r="G98" s="10" t="s">
        <v>22</v>
      </c>
      <c r="H98" s="10"/>
      <c r="I98" s="10" t="s">
        <v>23</v>
      </c>
      <c r="J98" s="12" t="s">
        <v>380</v>
      </c>
      <c r="K98" s="19" t="s">
        <v>22</v>
      </c>
      <c r="L98" s="10" t="s">
        <v>95</v>
      </c>
      <c r="M98" s="18">
        <f>D98+7</f>
        <v>45730</v>
      </c>
      <c r="N98" s="18">
        <v>45730</v>
      </c>
      <c r="O98" s="10" t="s">
        <v>27</v>
      </c>
      <c r="P98" s="10" t="s">
        <v>28</v>
      </c>
      <c r="Q98" s="10"/>
      <c r="R98" s="14">
        <v>1</v>
      </c>
    </row>
    <row r="99" spans="1:18" x14ac:dyDescent="0.25">
      <c r="A99" s="25">
        <v>3</v>
      </c>
      <c r="B99" s="9" t="s">
        <v>381</v>
      </c>
      <c r="C99" s="10" t="s">
        <v>19</v>
      </c>
      <c r="D99" s="11">
        <v>45723</v>
      </c>
      <c r="E99" s="10" t="s">
        <v>382</v>
      </c>
      <c r="F99" s="10" t="s">
        <v>42</v>
      </c>
      <c r="G99" s="10" t="s">
        <v>22</v>
      </c>
      <c r="H99" s="10" t="s">
        <v>68</v>
      </c>
      <c r="I99" s="10" t="s">
        <v>23</v>
      </c>
      <c r="J99" s="12" t="s">
        <v>383</v>
      </c>
      <c r="K99" s="19" t="s">
        <v>22</v>
      </c>
      <c r="L99" s="10" t="s">
        <v>26</v>
      </c>
      <c r="M99" s="18">
        <f>D99</f>
        <v>45723</v>
      </c>
      <c r="N99" s="18">
        <f>M99</f>
        <v>45723</v>
      </c>
      <c r="O99" s="10" t="s">
        <v>27</v>
      </c>
      <c r="P99" s="10" t="s">
        <v>45</v>
      </c>
      <c r="Q99" s="10"/>
      <c r="R99" s="14">
        <v>1</v>
      </c>
    </row>
    <row r="100" spans="1:18" x14ac:dyDescent="0.25">
      <c r="A100" s="25">
        <v>4</v>
      </c>
      <c r="B100" s="9" t="s">
        <v>384</v>
      </c>
      <c r="C100" s="10" t="s">
        <v>35</v>
      </c>
      <c r="D100" s="11">
        <v>45723</v>
      </c>
      <c r="E100" s="10" t="s">
        <v>385</v>
      </c>
      <c r="F100" s="10" t="s">
        <v>386</v>
      </c>
      <c r="G100" s="10" t="s">
        <v>22</v>
      </c>
      <c r="H100" s="10" t="s">
        <v>387</v>
      </c>
      <c r="I100" s="10" t="s">
        <v>23</v>
      </c>
      <c r="J100" s="12" t="s">
        <v>388</v>
      </c>
      <c r="K100" s="19" t="s">
        <v>22</v>
      </c>
      <c r="L100" s="10" t="s">
        <v>73</v>
      </c>
      <c r="M100" s="18">
        <v>45723</v>
      </c>
      <c r="N100" s="18">
        <v>45723</v>
      </c>
      <c r="O100" s="10" t="s">
        <v>27</v>
      </c>
      <c r="P100" s="10" t="s">
        <v>45</v>
      </c>
      <c r="Q100" s="10"/>
      <c r="R100" s="14">
        <v>1</v>
      </c>
    </row>
    <row r="101" spans="1:18" x14ac:dyDescent="0.25">
      <c r="A101" s="25">
        <v>5</v>
      </c>
      <c r="B101" s="9" t="s">
        <v>389</v>
      </c>
      <c r="C101" s="10" t="s">
        <v>35</v>
      </c>
      <c r="D101" s="11">
        <v>45723</v>
      </c>
      <c r="E101" s="10" t="s">
        <v>224</v>
      </c>
      <c r="F101" s="10" t="s">
        <v>21</v>
      </c>
      <c r="G101" s="10">
        <v>24069</v>
      </c>
      <c r="H101" s="10" t="s">
        <v>390</v>
      </c>
      <c r="I101" s="10" t="s">
        <v>23</v>
      </c>
      <c r="J101" s="12" t="s">
        <v>391</v>
      </c>
      <c r="K101" s="19" t="s">
        <v>22</v>
      </c>
      <c r="L101" s="10" t="s">
        <v>73</v>
      </c>
      <c r="M101" s="18">
        <v>45723</v>
      </c>
      <c r="N101" s="18"/>
      <c r="O101" s="10" t="s">
        <v>27</v>
      </c>
      <c r="P101" s="10" t="s">
        <v>65</v>
      </c>
      <c r="Q101" s="10"/>
      <c r="R101" s="14">
        <v>4</v>
      </c>
    </row>
    <row r="102" spans="1:18" x14ac:dyDescent="0.25">
      <c r="A102" s="25">
        <v>6</v>
      </c>
      <c r="B102" s="9" t="s">
        <v>392</v>
      </c>
      <c r="C102" s="10" t="s">
        <v>19</v>
      </c>
      <c r="D102" s="11">
        <v>45727</v>
      </c>
      <c r="E102" s="10" t="s">
        <v>119</v>
      </c>
      <c r="F102" s="10" t="s">
        <v>21</v>
      </c>
      <c r="G102" s="10" t="s">
        <v>22</v>
      </c>
      <c r="H102" s="10" t="s">
        <v>393</v>
      </c>
      <c r="I102" s="10" t="s">
        <v>23</v>
      </c>
      <c r="J102" s="12" t="s">
        <v>394</v>
      </c>
      <c r="K102" s="19" t="s">
        <v>22</v>
      </c>
      <c r="L102" s="10" t="s">
        <v>79</v>
      </c>
      <c r="M102" s="18">
        <v>45730</v>
      </c>
      <c r="N102" s="18"/>
      <c r="O102" s="10" t="s">
        <v>27</v>
      </c>
      <c r="P102" s="10" t="s">
        <v>28</v>
      </c>
      <c r="Q102" s="17" t="s">
        <v>395</v>
      </c>
      <c r="R102" s="14">
        <v>1</v>
      </c>
    </row>
    <row r="103" spans="1:18" x14ac:dyDescent="0.25">
      <c r="A103" s="25">
        <v>7</v>
      </c>
      <c r="B103" s="9" t="s">
        <v>396</v>
      </c>
      <c r="C103" s="10" t="s">
        <v>19</v>
      </c>
      <c r="D103" s="11">
        <v>45727</v>
      </c>
      <c r="E103" s="10" t="s">
        <v>273</v>
      </c>
      <c r="F103" s="10" t="s">
        <v>21</v>
      </c>
      <c r="G103" s="10" t="s">
        <v>22</v>
      </c>
      <c r="H103" s="10" t="s">
        <v>397</v>
      </c>
      <c r="I103" s="10" t="s">
        <v>23</v>
      </c>
      <c r="J103" s="12" t="s">
        <v>398</v>
      </c>
      <c r="K103" s="19" t="s">
        <v>22</v>
      </c>
      <c r="L103" s="10" t="s">
        <v>26</v>
      </c>
      <c r="M103" s="18">
        <f>D103+1</f>
        <v>45728</v>
      </c>
      <c r="N103" s="18"/>
      <c r="O103" s="10" t="s">
        <v>39</v>
      </c>
      <c r="P103" s="10" t="s">
        <v>28</v>
      </c>
      <c r="Q103" s="10"/>
      <c r="R103" s="14">
        <v>5</v>
      </c>
    </row>
    <row r="104" spans="1:18" x14ac:dyDescent="0.25">
      <c r="A104" s="25">
        <v>8</v>
      </c>
      <c r="B104" s="9" t="s">
        <v>399</v>
      </c>
      <c r="C104" s="10" t="s">
        <v>19</v>
      </c>
      <c r="D104" s="11">
        <v>45726</v>
      </c>
      <c r="E104" s="10" t="s">
        <v>103</v>
      </c>
      <c r="F104" s="10" t="s">
        <v>21</v>
      </c>
      <c r="G104" s="10" t="s">
        <v>22</v>
      </c>
      <c r="H104" s="10" t="s">
        <v>400</v>
      </c>
      <c r="I104" s="10" t="s">
        <v>23</v>
      </c>
      <c r="J104" s="12" t="s">
        <v>401</v>
      </c>
      <c r="K104" s="19" t="s">
        <v>22</v>
      </c>
      <c r="L104" s="10" t="s">
        <v>95</v>
      </c>
      <c r="M104" s="11">
        <f>D104+4</f>
        <v>45730</v>
      </c>
      <c r="N104" s="18">
        <v>45730</v>
      </c>
      <c r="O104" s="10" t="s">
        <v>27</v>
      </c>
      <c r="P104" s="10" t="s">
        <v>28</v>
      </c>
      <c r="Q104" s="10"/>
      <c r="R104" s="14">
        <v>1</v>
      </c>
    </row>
    <row r="105" spans="1:18" x14ac:dyDescent="0.25">
      <c r="A105" s="25">
        <v>9</v>
      </c>
      <c r="B105" s="9" t="s">
        <v>402</v>
      </c>
      <c r="C105" s="10" t="s">
        <v>19</v>
      </c>
      <c r="D105" s="11">
        <v>45727</v>
      </c>
      <c r="E105" s="10" t="s">
        <v>314</v>
      </c>
      <c r="F105" s="10" t="s">
        <v>42</v>
      </c>
      <c r="G105" s="10" t="s">
        <v>22</v>
      </c>
      <c r="H105" s="10"/>
      <c r="I105" s="10" t="s">
        <v>23</v>
      </c>
      <c r="J105" s="12" t="s">
        <v>403</v>
      </c>
      <c r="K105" s="19" t="s">
        <v>22</v>
      </c>
      <c r="L105" s="10" t="s">
        <v>95</v>
      </c>
      <c r="M105" s="11">
        <f>D105+14</f>
        <v>45741</v>
      </c>
      <c r="N105" s="11">
        <v>45741</v>
      </c>
      <c r="O105" s="10" t="s">
        <v>27</v>
      </c>
      <c r="P105" s="10" t="s">
        <v>45</v>
      </c>
      <c r="Q105" s="10"/>
      <c r="R105" s="14">
        <v>1</v>
      </c>
    </row>
    <row r="106" spans="1:18" x14ac:dyDescent="0.25">
      <c r="A106" s="25">
        <v>10</v>
      </c>
      <c r="B106" s="9" t="s">
        <v>404</v>
      </c>
      <c r="C106" s="10" t="s">
        <v>19</v>
      </c>
      <c r="D106" s="11">
        <v>45728</v>
      </c>
      <c r="E106" s="10" t="s">
        <v>405</v>
      </c>
      <c r="F106" s="10" t="s">
        <v>86</v>
      </c>
      <c r="G106" s="10">
        <v>24085</v>
      </c>
      <c r="H106" s="10" t="s">
        <v>406</v>
      </c>
      <c r="I106" s="10" t="s">
        <v>23</v>
      </c>
      <c r="J106" s="12" t="s">
        <v>407</v>
      </c>
      <c r="K106" s="19" t="s">
        <v>22</v>
      </c>
      <c r="L106" s="10" t="s">
        <v>26</v>
      </c>
      <c r="M106" s="11">
        <f>D106+3</f>
        <v>45731</v>
      </c>
      <c r="N106" s="10"/>
      <c r="O106" s="10" t="s">
        <v>27</v>
      </c>
      <c r="P106" s="10" t="s">
        <v>65</v>
      </c>
      <c r="Q106" s="10"/>
      <c r="R106" s="14">
        <v>2</v>
      </c>
    </row>
    <row r="107" spans="1:18" ht="12.75" customHeight="1" x14ac:dyDescent="0.25">
      <c r="A107" s="25">
        <v>11</v>
      </c>
      <c r="B107" s="9" t="s">
        <v>408</v>
      </c>
      <c r="C107" s="10" t="s">
        <v>49</v>
      </c>
      <c r="D107" s="11">
        <v>45723</v>
      </c>
      <c r="E107" s="10" t="s">
        <v>409</v>
      </c>
      <c r="F107" s="10" t="s">
        <v>410</v>
      </c>
      <c r="G107" s="10" t="s">
        <v>22</v>
      </c>
      <c r="H107" s="23" t="s">
        <v>411</v>
      </c>
      <c r="I107" s="10" t="s">
        <v>56</v>
      </c>
      <c r="J107" s="12" t="s">
        <v>412</v>
      </c>
      <c r="K107" s="19" t="s">
        <v>22</v>
      </c>
      <c r="L107" s="10" t="s">
        <v>108</v>
      </c>
      <c r="M107" s="18">
        <v>45728</v>
      </c>
      <c r="N107" s="18">
        <v>45728</v>
      </c>
      <c r="O107" s="10" t="s">
        <v>52</v>
      </c>
      <c r="P107" s="10" t="s">
        <v>38</v>
      </c>
      <c r="Q107" s="10"/>
      <c r="R107" s="14">
        <v>15</v>
      </c>
    </row>
    <row r="108" spans="1:18" x14ac:dyDescent="0.25">
      <c r="A108" s="25">
        <v>12</v>
      </c>
      <c r="B108" s="10">
        <v>105</v>
      </c>
      <c r="C108" s="10" t="s">
        <v>19</v>
      </c>
      <c r="D108" s="11">
        <v>45726</v>
      </c>
      <c r="E108" s="10" t="s">
        <v>191</v>
      </c>
      <c r="F108" s="10" t="s">
        <v>86</v>
      </c>
      <c r="G108" s="10" t="s">
        <v>22</v>
      </c>
      <c r="H108" s="10" t="s">
        <v>413</v>
      </c>
      <c r="I108" s="10" t="s">
        <v>23</v>
      </c>
      <c r="J108" s="12" t="s">
        <v>414</v>
      </c>
      <c r="K108" s="19" t="s">
        <v>22</v>
      </c>
      <c r="L108" s="10" t="s">
        <v>26</v>
      </c>
      <c r="M108" s="11">
        <f>D108+9</f>
        <v>45735</v>
      </c>
      <c r="N108" s="10"/>
      <c r="O108" s="10" t="s">
        <v>59</v>
      </c>
      <c r="P108" s="10" t="s">
        <v>28</v>
      </c>
      <c r="Q108" s="10"/>
      <c r="R108" s="14">
        <v>8</v>
      </c>
    </row>
    <row r="109" spans="1:18" x14ac:dyDescent="0.25">
      <c r="A109" s="25">
        <v>13</v>
      </c>
      <c r="B109" s="9" t="s">
        <v>415</v>
      </c>
      <c r="C109" s="10" t="s">
        <v>19</v>
      </c>
      <c r="D109" s="11">
        <v>45729</v>
      </c>
      <c r="E109" s="10" t="s">
        <v>416</v>
      </c>
      <c r="F109" s="10" t="s">
        <v>21</v>
      </c>
      <c r="G109" s="10" t="s">
        <v>22</v>
      </c>
      <c r="H109" s="10" t="s">
        <v>417</v>
      </c>
      <c r="I109" s="10" t="s">
        <v>23</v>
      </c>
      <c r="J109" s="12" t="s">
        <v>418</v>
      </c>
      <c r="K109" s="19" t="s">
        <v>22</v>
      </c>
      <c r="L109" s="10" t="s">
        <v>26</v>
      </c>
      <c r="M109" s="11">
        <f>D109</f>
        <v>45729</v>
      </c>
      <c r="N109" s="11">
        <f>M109</f>
        <v>45729</v>
      </c>
      <c r="O109" s="10" t="s">
        <v>27</v>
      </c>
      <c r="P109" s="10" t="s">
        <v>65</v>
      </c>
      <c r="Q109" s="10"/>
      <c r="R109" s="14">
        <v>1</v>
      </c>
    </row>
    <row r="110" spans="1:18" x14ac:dyDescent="0.25">
      <c r="A110" s="25">
        <v>14</v>
      </c>
      <c r="B110" s="9" t="s">
        <v>419</v>
      </c>
      <c r="C110" s="10" t="s">
        <v>19</v>
      </c>
      <c r="D110" s="11">
        <v>45729</v>
      </c>
      <c r="E110" s="10" t="s">
        <v>228</v>
      </c>
      <c r="F110" s="10" t="s">
        <v>42</v>
      </c>
      <c r="G110" s="10" t="s">
        <v>22</v>
      </c>
      <c r="H110" s="10"/>
      <c r="I110" s="10" t="s">
        <v>23</v>
      </c>
      <c r="J110" s="12" t="s">
        <v>420</v>
      </c>
      <c r="K110" s="19" t="s">
        <v>22</v>
      </c>
      <c r="L110" s="10" t="s">
        <v>26</v>
      </c>
      <c r="M110" s="11">
        <f>D110+1</f>
        <v>45730</v>
      </c>
      <c r="N110" s="11">
        <f>M110</f>
        <v>45730</v>
      </c>
      <c r="O110" s="10" t="s">
        <v>39</v>
      </c>
      <c r="P110" s="10" t="s">
        <v>28</v>
      </c>
      <c r="Q110" s="10"/>
      <c r="R110" s="14">
        <v>3</v>
      </c>
    </row>
    <row r="111" spans="1:18" x14ac:dyDescent="0.25">
      <c r="A111" s="25">
        <v>15</v>
      </c>
      <c r="B111" s="9" t="s">
        <v>421</v>
      </c>
      <c r="C111" s="10" t="s">
        <v>19</v>
      </c>
      <c r="D111" s="11">
        <v>45729</v>
      </c>
      <c r="E111" s="10" t="s">
        <v>382</v>
      </c>
      <c r="F111" s="10" t="s">
        <v>42</v>
      </c>
      <c r="G111" s="10" t="s">
        <v>22</v>
      </c>
      <c r="H111" s="10" t="s">
        <v>68</v>
      </c>
      <c r="I111" s="10" t="s">
        <v>23</v>
      </c>
      <c r="J111" s="12" t="s">
        <v>422</v>
      </c>
      <c r="K111" s="19" t="s">
        <v>22</v>
      </c>
      <c r="L111" s="10" t="s">
        <v>95</v>
      </c>
      <c r="M111" s="11">
        <f>D111+1</f>
        <v>45730</v>
      </c>
      <c r="N111" s="11">
        <f>M111</f>
        <v>45730</v>
      </c>
      <c r="O111" s="10" t="s">
        <v>27</v>
      </c>
      <c r="P111" s="10" t="s">
        <v>28</v>
      </c>
      <c r="Q111" s="10"/>
      <c r="R111" s="14">
        <v>1</v>
      </c>
    </row>
    <row r="112" spans="1:18" x14ac:dyDescent="0.25">
      <c r="A112" s="25">
        <v>16</v>
      </c>
      <c r="B112" s="9" t="s">
        <v>423</v>
      </c>
      <c r="C112" s="10" t="s">
        <v>35</v>
      </c>
      <c r="D112" s="11">
        <v>45730</v>
      </c>
      <c r="E112" s="10" t="s">
        <v>224</v>
      </c>
      <c r="F112" s="10" t="s">
        <v>21</v>
      </c>
      <c r="G112" s="10" t="s">
        <v>22</v>
      </c>
      <c r="H112" s="10" t="s">
        <v>424</v>
      </c>
      <c r="I112" s="10" t="s">
        <v>23</v>
      </c>
      <c r="J112" s="12" t="s">
        <v>425</v>
      </c>
      <c r="K112" s="19" t="s">
        <v>22</v>
      </c>
      <c r="L112" s="10" t="s">
        <v>73</v>
      </c>
      <c r="M112" s="11">
        <f t="shared" ref="M112:M119" si="0">D112+1</f>
        <v>45731</v>
      </c>
      <c r="N112" s="11">
        <f t="shared" ref="N112:N119" si="1">M112</f>
        <v>45731</v>
      </c>
      <c r="O112" s="10" t="s">
        <v>27</v>
      </c>
      <c r="P112" s="10" t="s">
        <v>38</v>
      </c>
      <c r="Q112" s="10"/>
      <c r="R112" s="14">
        <v>3</v>
      </c>
    </row>
    <row r="113" spans="1:18" x14ac:dyDescent="0.25">
      <c r="A113" s="25">
        <v>17</v>
      </c>
      <c r="B113" s="9" t="s">
        <v>426</v>
      </c>
      <c r="C113" s="10" t="s">
        <v>35</v>
      </c>
      <c r="D113" s="11">
        <v>45727</v>
      </c>
      <c r="E113" s="10" t="s">
        <v>224</v>
      </c>
      <c r="F113" s="10" t="s">
        <v>21</v>
      </c>
      <c r="G113" s="10" t="s">
        <v>22</v>
      </c>
      <c r="H113" s="10" t="s">
        <v>427</v>
      </c>
      <c r="I113" s="10" t="s">
        <v>23</v>
      </c>
      <c r="J113" s="12" t="s">
        <v>428</v>
      </c>
      <c r="K113" s="19" t="s">
        <v>22</v>
      </c>
      <c r="L113" s="10" t="s">
        <v>73</v>
      </c>
      <c r="M113" s="11">
        <f t="shared" si="0"/>
        <v>45728</v>
      </c>
      <c r="N113" s="11">
        <f t="shared" si="1"/>
        <v>45728</v>
      </c>
      <c r="O113" s="10" t="s">
        <v>27</v>
      </c>
      <c r="P113" s="10" t="s">
        <v>28</v>
      </c>
      <c r="Q113" s="10"/>
      <c r="R113" s="14">
        <v>1</v>
      </c>
    </row>
    <row r="114" spans="1:18" x14ac:dyDescent="0.25">
      <c r="A114" s="25">
        <v>18</v>
      </c>
      <c r="B114" s="9" t="s">
        <v>429</v>
      </c>
      <c r="C114" s="10" t="s">
        <v>35</v>
      </c>
      <c r="D114" s="11">
        <v>45720</v>
      </c>
      <c r="E114" s="10" t="s">
        <v>363</v>
      </c>
      <c r="F114" s="10" t="s">
        <v>21</v>
      </c>
      <c r="G114" s="10" t="s">
        <v>22</v>
      </c>
      <c r="H114" s="10" t="s">
        <v>353</v>
      </c>
      <c r="I114" s="10" t="s">
        <v>23</v>
      </c>
      <c r="J114" s="12" t="s">
        <v>430</v>
      </c>
      <c r="K114" s="19" t="s">
        <v>22</v>
      </c>
      <c r="L114" s="10" t="s">
        <v>73</v>
      </c>
      <c r="M114" s="11">
        <f t="shared" si="0"/>
        <v>45721</v>
      </c>
      <c r="N114" s="11">
        <f t="shared" si="1"/>
        <v>45721</v>
      </c>
      <c r="O114" s="10" t="s">
        <v>27</v>
      </c>
      <c r="P114" s="10" t="s">
        <v>28</v>
      </c>
      <c r="Q114" s="10"/>
      <c r="R114" s="14">
        <v>2</v>
      </c>
    </row>
    <row r="115" spans="1:18" x14ac:dyDescent="0.25">
      <c r="A115" s="25">
        <v>19</v>
      </c>
      <c r="B115" s="9" t="s">
        <v>431</v>
      </c>
      <c r="C115" s="10" t="s">
        <v>49</v>
      </c>
      <c r="D115" s="11">
        <v>45638</v>
      </c>
      <c r="E115" s="10" t="s">
        <v>211</v>
      </c>
      <c r="F115" s="10" t="s">
        <v>21</v>
      </c>
      <c r="G115" s="10">
        <v>23780</v>
      </c>
      <c r="H115" s="10" t="s">
        <v>432</v>
      </c>
      <c r="I115" s="10" t="s">
        <v>50</v>
      </c>
      <c r="J115" s="12" t="s">
        <v>433</v>
      </c>
      <c r="K115" s="19" t="s">
        <v>22</v>
      </c>
      <c r="L115" s="10" t="s">
        <v>99</v>
      </c>
      <c r="M115" s="11">
        <f t="shared" si="0"/>
        <v>45639</v>
      </c>
      <c r="N115" s="11">
        <f t="shared" si="1"/>
        <v>45639</v>
      </c>
      <c r="O115" s="10" t="s">
        <v>27</v>
      </c>
      <c r="P115" s="10" t="s">
        <v>65</v>
      </c>
      <c r="Q115" s="10"/>
      <c r="R115" s="14">
        <v>2</v>
      </c>
    </row>
    <row r="116" spans="1:18" x14ac:dyDescent="0.25">
      <c r="A116" s="25">
        <v>20</v>
      </c>
      <c r="B116" s="9" t="s">
        <v>434</v>
      </c>
      <c r="C116" s="10" t="s">
        <v>35</v>
      </c>
      <c r="D116" s="11">
        <v>45730</v>
      </c>
      <c r="E116" s="10" t="s">
        <v>363</v>
      </c>
      <c r="F116" s="10" t="s">
        <v>21</v>
      </c>
      <c r="G116" s="10">
        <v>23983</v>
      </c>
      <c r="H116" s="10" t="s">
        <v>353</v>
      </c>
      <c r="I116" s="10" t="s">
        <v>23</v>
      </c>
      <c r="J116" s="12" t="s">
        <v>435</v>
      </c>
      <c r="K116" s="19" t="s">
        <v>22</v>
      </c>
      <c r="L116" s="10" t="s">
        <v>83</v>
      </c>
      <c r="M116" s="11">
        <f t="shared" si="0"/>
        <v>45731</v>
      </c>
      <c r="N116" s="11">
        <f t="shared" si="1"/>
        <v>45731</v>
      </c>
      <c r="O116" s="10" t="s">
        <v>27</v>
      </c>
      <c r="P116" s="10" t="s">
        <v>65</v>
      </c>
      <c r="Q116" s="10"/>
      <c r="R116" s="14">
        <v>3</v>
      </c>
    </row>
    <row r="117" spans="1:18" x14ac:dyDescent="0.25">
      <c r="A117" s="25">
        <v>21</v>
      </c>
      <c r="B117" s="9" t="s">
        <v>436</v>
      </c>
      <c r="C117" s="10" t="s">
        <v>49</v>
      </c>
      <c r="D117" s="11">
        <v>45734</v>
      </c>
      <c r="E117" s="10" t="s">
        <v>437</v>
      </c>
      <c r="F117" s="10" t="s">
        <v>21</v>
      </c>
      <c r="G117" s="10" t="s">
        <v>22</v>
      </c>
      <c r="H117" s="10" t="s">
        <v>438</v>
      </c>
      <c r="I117" s="10" t="s">
        <v>56</v>
      </c>
      <c r="J117" s="12" t="s">
        <v>439</v>
      </c>
      <c r="K117" s="19" t="s">
        <v>22</v>
      </c>
      <c r="L117" s="10" t="s">
        <v>108</v>
      </c>
      <c r="M117" s="11">
        <f t="shared" si="0"/>
        <v>45735</v>
      </c>
      <c r="N117" s="11">
        <f t="shared" si="1"/>
        <v>45735</v>
      </c>
      <c r="O117" s="10" t="s">
        <v>27</v>
      </c>
      <c r="P117" s="10" t="s">
        <v>28</v>
      </c>
      <c r="Q117" s="10"/>
      <c r="R117" s="14">
        <v>3</v>
      </c>
    </row>
    <row r="118" spans="1:18" x14ac:dyDescent="0.25">
      <c r="A118" s="25">
        <v>22</v>
      </c>
      <c r="B118" s="9" t="s">
        <v>440</v>
      </c>
      <c r="C118" s="10" t="s">
        <v>35</v>
      </c>
      <c r="D118" s="11">
        <v>45734</v>
      </c>
      <c r="E118" s="10" t="s">
        <v>224</v>
      </c>
      <c r="F118" s="10" t="s">
        <v>21</v>
      </c>
      <c r="G118" s="10" t="s">
        <v>22</v>
      </c>
      <c r="H118" s="10" t="s">
        <v>371</v>
      </c>
      <c r="I118" s="10" t="s">
        <v>23</v>
      </c>
      <c r="J118" s="12" t="s">
        <v>441</v>
      </c>
      <c r="K118" s="19" t="s">
        <v>22</v>
      </c>
      <c r="L118" s="10" t="s">
        <v>73</v>
      </c>
      <c r="M118" s="11">
        <f t="shared" si="0"/>
        <v>45735</v>
      </c>
      <c r="N118" s="11">
        <f t="shared" si="1"/>
        <v>45735</v>
      </c>
      <c r="O118" s="10" t="s">
        <v>27</v>
      </c>
      <c r="P118" s="10" t="s">
        <v>28</v>
      </c>
      <c r="Q118" s="10"/>
      <c r="R118" s="14">
        <v>1</v>
      </c>
    </row>
    <row r="119" spans="1:18" x14ac:dyDescent="0.25">
      <c r="A119" s="25">
        <v>23</v>
      </c>
      <c r="B119" s="9" t="s">
        <v>442</v>
      </c>
      <c r="C119" s="10" t="s">
        <v>49</v>
      </c>
      <c r="D119" s="11">
        <v>45734</v>
      </c>
      <c r="E119" s="10" t="s">
        <v>211</v>
      </c>
      <c r="F119" s="10" t="s">
        <v>21</v>
      </c>
      <c r="G119" s="10" t="s">
        <v>22</v>
      </c>
      <c r="H119" s="10" t="s">
        <v>443</v>
      </c>
      <c r="I119" s="10" t="s">
        <v>50</v>
      </c>
      <c r="J119" s="12" t="s">
        <v>444</v>
      </c>
      <c r="K119" s="19" t="s">
        <v>22</v>
      </c>
      <c r="L119" s="10" t="s">
        <v>108</v>
      </c>
      <c r="M119" s="11">
        <f t="shared" si="0"/>
        <v>45735</v>
      </c>
      <c r="N119" s="11">
        <f t="shared" si="1"/>
        <v>45735</v>
      </c>
      <c r="O119" s="10" t="s">
        <v>39</v>
      </c>
      <c r="P119" s="10" t="s">
        <v>58</v>
      </c>
      <c r="Q119" s="17" t="s">
        <v>445</v>
      </c>
      <c r="R119" s="14">
        <v>7</v>
      </c>
    </row>
    <row r="120" spans="1:18" x14ac:dyDescent="0.25">
      <c r="A120" s="25">
        <v>24</v>
      </c>
      <c r="B120" s="9" t="s">
        <v>446</v>
      </c>
      <c r="C120" s="10" t="s">
        <v>19</v>
      </c>
      <c r="D120" s="11">
        <v>45735</v>
      </c>
      <c r="E120" s="10" t="s">
        <v>103</v>
      </c>
      <c r="F120" s="10" t="s">
        <v>21</v>
      </c>
      <c r="G120" s="10" t="s">
        <v>22</v>
      </c>
      <c r="H120" s="10" t="s">
        <v>447</v>
      </c>
      <c r="I120" s="10" t="s">
        <v>23</v>
      </c>
      <c r="J120" s="12" t="s">
        <v>448</v>
      </c>
      <c r="K120" s="19" t="s">
        <v>22</v>
      </c>
      <c r="L120" s="10" t="s">
        <v>89</v>
      </c>
      <c r="M120" s="11">
        <f>D120</f>
        <v>45735</v>
      </c>
      <c r="N120" s="11">
        <f>M120</f>
        <v>45735</v>
      </c>
      <c r="O120" s="10" t="s">
        <v>27</v>
      </c>
      <c r="P120" s="10" t="s">
        <v>28</v>
      </c>
      <c r="Q120" s="10"/>
      <c r="R120" s="14">
        <v>1</v>
      </c>
    </row>
    <row r="121" spans="1:18" x14ac:dyDescent="0.25">
      <c r="A121" s="25">
        <v>25</v>
      </c>
      <c r="B121" s="9" t="s">
        <v>449</v>
      </c>
      <c r="C121" s="10" t="s">
        <v>19</v>
      </c>
      <c r="D121" s="11">
        <v>45740</v>
      </c>
      <c r="E121" s="10" t="s">
        <v>450</v>
      </c>
      <c r="F121" s="10" t="s">
        <v>42</v>
      </c>
      <c r="G121" s="10">
        <v>23398</v>
      </c>
      <c r="H121" s="10" t="s">
        <v>451</v>
      </c>
      <c r="I121" s="10" t="s">
        <v>23</v>
      </c>
      <c r="J121" s="12" t="s">
        <v>452</v>
      </c>
      <c r="K121" s="19" t="s">
        <v>22</v>
      </c>
      <c r="L121" s="10" t="s">
        <v>37</v>
      </c>
      <c r="M121" s="11">
        <f t="shared" ref="M121:M123" si="2">D121</f>
        <v>45740</v>
      </c>
      <c r="N121" s="11">
        <f t="shared" ref="N121:N123" si="3">M121</f>
        <v>45740</v>
      </c>
      <c r="O121" s="10" t="s">
        <v>27</v>
      </c>
      <c r="P121" s="10" t="s">
        <v>28</v>
      </c>
      <c r="Q121" s="10"/>
      <c r="R121" s="14">
        <v>1</v>
      </c>
    </row>
    <row r="122" spans="1:18" x14ac:dyDescent="0.25">
      <c r="A122" s="25">
        <v>26</v>
      </c>
      <c r="B122" s="9" t="s">
        <v>453</v>
      </c>
      <c r="C122" s="10" t="s">
        <v>19</v>
      </c>
      <c r="D122" s="11">
        <v>45740</v>
      </c>
      <c r="E122" s="10" t="s">
        <v>454</v>
      </c>
      <c r="F122" s="10" t="s">
        <v>455</v>
      </c>
      <c r="G122" s="10" t="s">
        <v>22</v>
      </c>
      <c r="H122" s="10"/>
      <c r="I122" s="10" t="s">
        <v>23</v>
      </c>
      <c r="J122" s="12" t="s">
        <v>456</v>
      </c>
      <c r="K122" s="19" t="s">
        <v>22</v>
      </c>
      <c r="L122" s="10" t="s">
        <v>44</v>
      </c>
      <c r="M122" s="11">
        <f t="shared" si="2"/>
        <v>45740</v>
      </c>
      <c r="N122" s="11">
        <f t="shared" si="3"/>
        <v>45740</v>
      </c>
      <c r="O122" s="10" t="s">
        <v>27</v>
      </c>
      <c r="P122" s="10" t="s">
        <v>38</v>
      </c>
      <c r="Q122" s="10"/>
      <c r="R122" s="14">
        <v>1</v>
      </c>
    </row>
    <row r="123" spans="1:18" x14ac:dyDescent="0.25">
      <c r="A123" s="25">
        <v>27</v>
      </c>
      <c r="B123" s="9" t="s">
        <v>457</v>
      </c>
      <c r="C123" s="10" t="s">
        <v>19</v>
      </c>
      <c r="D123" s="11">
        <v>45741</v>
      </c>
      <c r="E123" s="10" t="s">
        <v>458</v>
      </c>
      <c r="F123" s="10" t="s">
        <v>200</v>
      </c>
      <c r="G123" s="10" t="s">
        <v>22</v>
      </c>
      <c r="H123" s="10"/>
      <c r="I123" s="10" t="s">
        <v>23</v>
      </c>
      <c r="J123" s="12" t="s">
        <v>459</v>
      </c>
      <c r="K123" s="13" t="s">
        <v>25</v>
      </c>
      <c r="L123" s="10" t="s">
        <v>89</v>
      </c>
      <c r="M123" s="11">
        <f t="shared" si="2"/>
        <v>45741</v>
      </c>
      <c r="N123" s="11">
        <f t="shared" si="3"/>
        <v>45741</v>
      </c>
      <c r="O123" s="10" t="s">
        <v>27</v>
      </c>
      <c r="P123" s="10" t="s">
        <v>38</v>
      </c>
      <c r="Q123" s="10"/>
      <c r="R123" s="14">
        <v>1</v>
      </c>
    </row>
    <row r="124" spans="1:18" x14ac:dyDescent="0.25">
      <c r="A124" s="25">
        <v>28</v>
      </c>
      <c r="B124" s="9" t="s">
        <v>460</v>
      </c>
      <c r="C124" s="10" t="s">
        <v>19</v>
      </c>
      <c r="D124" s="11">
        <v>45741</v>
      </c>
      <c r="E124" s="10" t="s">
        <v>314</v>
      </c>
      <c r="F124" s="10" t="s">
        <v>42</v>
      </c>
      <c r="G124" s="10">
        <v>24018</v>
      </c>
      <c r="H124" s="10"/>
      <c r="I124" s="10" t="s">
        <v>23</v>
      </c>
      <c r="J124" s="12" t="s">
        <v>461</v>
      </c>
      <c r="K124" s="19" t="s">
        <v>22</v>
      </c>
      <c r="L124" s="10" t="s">
        <v>79</v>
      </c>
      <c r="M124" s="11">
        <f>D124+1</f>
        <v>45742</v>
      </c>
      <c r="N124" s="11">
        <f>M124</f>
        <v>45742</v>
      </c>
      <c r="O124" s="10" t="s">
        <v>27</v>
      </c>
      <c r="P124" s="10" t="s">
        <v>65</v>
      </c>
      <c r="Q124" s="10"/>
      <c r="R124" s="14">
        <v>1</v>
      </c>
    </row>
    <row r="125" spans="1:18" x14ac:dyDescent="0.25">
      <c r="A125" s="25">
        <v>29</v>
      </c>
      <c r="B125" s="9" t="s">
        <v>462</v>
      </c>
      <c r="C125" s="10" t="s">
        <v>19</v>
      </c>
      <c r="D125" s="11">
        <v>45740</v>
      </c>
      <c r="E125" s="10" t="s">
        <v>463</v>
      </c>
      <c r="F125" s="10" t="s">
        <v>21</v>
      </c>
      <c r="G125" s="10" t="s">
        <v>22</v>
      </c>
      <c r="H125" s="10"/>
      <c r="I125" s="10" t="s">
        <v>23</v>
      </c>
      <c r="J125" s="12" t="s">
        <v>464</v>
      </c>
      <c r="K125" s="19" t="s">
        <v>22</v>
      </c>
      <c r="L125" s="10" t="s">
        <v>26</v>
      </c>
      <c r="M125" s="11">
        <f>D125</f>
        <v>45740</v>
      </c>
      <c r="N125" s="11">
        <f>M125</f>
        <v>45740</v>
      </c>
      <c r="O125" s="10" t="s">
        <v>27</v>
      </c>
      <c r="P125" s="10" t="s">
        <v>28</v>
      </c>
      <c r="Q125" s="10"/>
      <c r="R125" s="14">
        <v>1</v>
      </c>
    </row>
    <row r="126" spans="1:18" x14ac:dyDescent="0.25">
      <c r="A126" s="25">
        <v>30</v>
      </c>
      <c r="B126" s="9" t="s">
        <v>465</v>
      </c>
      <c r="C126" s="10" t="s">
        <v>35</v>
      </c>
      <c r="D126" s="11">
        <v>45742</v>
      </c>
      <c r="E126" s="10" t="s">
        <v>224</v>
      </c>
      <c r="F126" s="10" t="s">
        <v>21</v>
      </c>
      <c r="G126" s="10" t="s">
        <v>22</v>
      </c>
      <c r="H126" s="10" t="s">
        <v>466</v>
      </c>
      <c r="I126" s="10" t="s">
        <v>23</v>
      </c>
      <c r="J126" s="12" t="s">
        <v>467</v>
      </c>
      <c r="K126" s="19" t="s">
        <v>22</v>
      </c>
      <c r="L126" s="10" t="s">
        <v>73</v>
      </c>
      <c r="M126" s="11">
        <v>45742</v>
      </c>
      <c r="N126" s="11">
        <v>45742</v>
      </c>
      <c r="O126" s="10" t="s">
        <v>27</v>
      </c>
      <c r="P126" s="10" t="s">
        <v>28</v>
      </c>
      <c r="Q126" s="10"/>
      <c r="R126" s="14">
        <v>2</v>
      </c>
    </row>
    <row r="127" spans="1:18" x14ac:dyDescent="0.25">
      <c r="A127" s="25">
        <v>31</v>
      </c>
      <c r="B127" s="9" t="s">
        <v>468</v>
      </c>
      <c r="C127" s="10" t="s">
        <v>35</v>
      </c>
      <c r="D127" s="11">
        <v>45743</v>
      </c>
      <c r="E127" s="10" t="s">
        <v>245</v>
      </c>
      <c r="F127" s="10" t="s">
        <v>21</v>
      </c>
      <c r="G127" s="10" t="s">
        <v>22</v>
      </c>
      <c r="H127" s="10" t="s">
        <v>469</v>
      </c>
      <c r="I127" s="10" t="s">
        <v>23</v>
      </c>
      <c r="J127" s="12" t="s">
        <v>470</v>
      </c>
      <c r="K127" s="19" t="s">
        <v>22</v>
      </c>
      <c r="L127" s="10" t="s">
        <v>73</v>
      </c>
      <c r="M127" s="11">
        <v>45743</v>
      </c>
      <c r="N127" s="11">
        <v>45743</v>
      </c>
      <c r="O127" s="10" t="s">
        <v>27</v>
      </c>
      <c r="P127" s="10" t="s">
        <v>28</v>
      </c>
      <c r="Q127" s="10"/>
      <c r="R127" s="14">
        <v>1</v>
      </c>
    </row>
    <row r="128" spans="1:18" x14ac:dyDescent="0.25">
      <c r="A128" s="25">
        <v>32</v>
      </c>
      <c r="B128" s="9" t="s">
        <v>471</v>
      </c>
      <c r="C128" s="10" t="s">
        <v>35</v>
      </c>
      <c r="D128" s="11">
        <v>45744</v>
      </c>
      <c r="E128" s="10" t="s">
        <v>245</v>
      </c>
      <c r="F128" s="10" t="s">
        <v>21</v>
      </c>
      <c r="G128" s="10" t="s">
        <v>22</v>
      </c>
      <c r="H128" s="10" t="s">
        <v>353</v>
      </c>
      <c r="I128" s="10" t="s">
        <v>23</v>
      </c>
      <c r="J128" s="12" t="s">
        <v>472</v>
      </c>
      <c r="K128" s="19" t="s">
        <v>22</v>
      </c>
      <c r="L128" s="10" t="s">
        <v>83</v>
      </c>
      <c r="M128" s="11">
        <v>45744</v>
      </c>
      <c r="N128" s="11">
        <v>45744</v>
      </c>
      <c r="O128" s="10" t="s">
        <v>27</v>
      </c>
      <c r="P128" s="10" t="s">
        <v>28</v>
      </c>
      <c r="Q128" s="10"/>
      <c r="R128" s="14">
        <v>1</v>
      </c>
    </row>
    <row r="129" spans="1:19" x14ac:dyDescent="0.25">
      <c r="A129" s="25">
        <v>33</v>
      </c>
      <c r="B129" s="9" t="s">
        <v>473</v>
      </c>
      <c r="C129" s="10" t="s">
        <v>49</v>
      </c>
      <c r="D129" s="11">
        <v>45747</v>
      </c>
      <c r="E129" s="10" t="s">
        <v>474</v>
      </c>
      <c r="F129" s="10" t="s">
        <v>21</v>
      </c>
      <c r="G129" s="10" t="s">
        <v>22</v>
      </c>
      <c r="H129" s="10" t="s">
        <v>475</v>
      </c>
      <c r="I129" s="10" t="s">
        <v>50</v>
      </c>
      <c r="J129" s="12" t="s">
        <v>476</v>
      </c>
      <c r="K129" s="19" t="s">
        <v>22</v>
      </c>
      <c r="L129" s="10" t="s">
        <v>108</v>
      </c>
      <c r="M129" s="11">
        <f>D129+2</f>
        <v>45749</v>
      </c>
      <c r="N129" s="11">
        <f>M129</f>
        <v>45749</v>
      </c>
      <c r="O129" s="10" t="s">
        <v>39</v>
      </c>
      <c r="P129" s="10" t="s">
        <v>45</v>
      </c>
      <c r="Q129" s="17" t="s">
        <v>477</v>
      </c>
      <c r="R129" s="14">
        <v>3</v>
      </c>
      <c r="S129" s="24">
        <f>SUM(R97:R129)</f>
        <v>83</v>
      </c>
    </row>
    <row r="130" spans="1:19" x14ac:dyDescent="0.25">
      <c r="A130" s="21">
        <v>1</v>
      </c>
      <c r="B130" s="9" t="s">
        <v>478</v>
      </c>
      <c r="C130" s="10" t="s">
        <v>19</v>
      </c>
      <c r="D130" s="11">
        <v>45747</v>
      </c>
      <c r="E130" s="10" t="s">
        <v>479</v>
      </c>
      <c r="F130" s="10" t="s">
        <v>42</v>
      </c>
      <c r="G130" s="10" t="s">
        <v>22</v>
      </c>
      <c r="H130" s="10" t="s">
        <v>480</v>
      </c>
      <c r="I130" s="10" t="s">
        <v>23</v>
      </c>
      <c r="J130" s="12" t="s">
        <v>481</v>
      </c>
      <c r="K130" s="19" t="s">
        <v>25</v>
      </c>
      <c r="L130" s="10" t="s">
        <v>26</v>
      </c>
      <c r="M130" s="11">
        <f>D130+4</f>
        <v>45751</v>
      </c>
      <c r="N130" s="11">
        <f>M130+19</f>
        <v>45770</v>
      </c>
      <c r="O130" s="10" t="s">
        <v>52</v>
      </c>
      <c r="P130" s="10" t="s">
        <v>45</v>
      </c>
      <c r="Q130" s="10"/>
      <c r="R130" s="14">
        <v>8</v>
      </c>
    </row>
    <row r="131" spans="1:19" x14ac:dyDescent="0.25">
      <c r="A131" s="21">
        <v>2</v>
      </c>
      <c r="B131" s="9" t="s">
        <v>482</v>
      </c>
      <c r="C131" s="10" t="s">
        <v>49</v>
      </c>
      <c r="D131" s="11">
        <v>45748</v>
      </c>
      <c r="E131" s="10" t="s">
        <v>327</v>
      </c>
      <c r="F131" s="10" t="s">
        <v>328</v>
      </c>
      <c r="G131" s="10" t="s">
        <v>22</v>
      </c>
      <c r="H131" s="10"/>
      <c r="I131" s="10" t="s">
        <v>50</v>
      </c>
      <c r="J131" s="12" t="s">
        <v>329</v>
      </c>
      <c r="K131" s="19" t="s">
        <v>22</v>
      </c>
      <c r="L131" s="10" t="s">
        <v>108</v>
      </c>
      <c r="M131" s="11">
        <f>D131</f>
        <v>45748</v>
      </c>
      <c r="N131" s="11">
        <f>M131</f>
        <v>45748</v>
      </c>
      <c r="O131" s="10" t="s">
        <v>39</v>
      </c>
      <c r="P131" s="10" t="s">
        <v>65</v>
      </c>
      <c r="Q131" s="10"/>
      <c r="R131" s="14">
        <v>6</v>
      </c>
    </row>
    <row r="132" spans="1:19" x14ac:dyDescent="0.25">
      <c r="A132" s="21">
        <v>3</v>
      </c>
      <c r="B132" s="9" t="s">
        <v>483</v>
      </c>
      <c r="C132" s="10" t="s">
        <v>19</v>
      </c>
      <c r="D132" s="11">
        <v>45748</v>
      </c>
      <c r="E132" s="10" t="s">
        <v>416</v>
      </c>
      <c r="F132" s="10" t="s">
        <v>21</v>
      </c>
      <c r="G132" s="10" t="s">
        <v>22</v>
      </c>
      <c r="H132" s="10" t="s">
        <v>417</v>
      </c>
      <c r="I132" s="10" t="s">
        <v>23</v>
      </c>
      <c r="J132" s="12" t="s">
        <v>484</v>
      </c>
      <c r="K132" s="19" t="s">
        <v>22</v>
      </c>
      <c r="L132" s="10" t="s">
        <v>26</v>
      </c>
      <c r="M132" s="11">
        <f>D132+7</f>
        <v>45755</v>
      </c>
      <c r="N132" s="11">
        <f t="shared" ref="N132:N135" si="4">M132</f>
        <v>45755</v>
      </c>
      <c r="O132" s="10" t="s">
        <v>39</v>
      </c>
      <c r="P132" s="10" t="s">
        <v>65</v>
      </c>
      <c r="Q132" s="10"/>
      <c r="R132" s="14">
        <v>3</v>
      </c>
    </row>
    <row r="133" spans="1:19" x14ac:dyDescent="0.25">
      <c r="A133" s="21">
        <v>4</v>
      </c>
      <c r="B133" s="9" t="s">
        <v>485</v>
      </c>
      <c r="C133" s="10" t="s">
        <v>19</v>
      </c>
      <c r="D133" s="11">
        <v>45748</v>
      </c>
      <c r="E133" s="10" t="s">
        <v>273</v>
      </c>
      <c r="F133" s="10" t="s">
        <v>21</v>
      </c>
      <c r="G133" s="10" t="s">
        <v>22</v>
      </c>
      <c r="H133" s="10" t="s">
        <v>397</v>
      </c>
      <c r="I133" s="10" t="s">
        <v>23</v>
      </c>
      <c r="J133" s="12" t="s">
        <v>398</v>
      </c>
      <c r="K133" s="19" t="s">
        <v>22</v>
      </c>
      <c r="L133" s="10" t="s">
        <v>26</v>
      </c>
      <c r="M133" s="11">
        <f>D133+1</f>
        <v>45749</v>
      </c>
      <c r="N133" s="11">
        <f t="shared" si="4"/>
        <v>45749</v>
      </c>
      <c r="O133" s="10" t="s">
        <v>46</v>
      </c>
      <c r="P133" s="10" t="s">
        <v>28</v>
      </c>
      <c r="Q133" s="10"/>
      <c r="R133" s="14">
        <v>6</v>
      </c>
    </row>
    <row r="134" spans="1:19" x14ac:dyDescent="0.25">
      <c r="A134" s="21">
        <v>5</v>
      </c>
      <c r="B134" s="9" t="s">
        <v>486</v>
      </c>
      <c r="C134" s="10" t="s">
        <v>35</v>
      </c>
      <c r="D134" s="11">
        <v>45750</v>
      </c>
      <c r="E134" s="10" t="s">
        <v>224</v>
      </c>
      <c r="F134" s="10" t="s">
        <v>21</v>
      </c>
      <c r="G134" s="10" t="s">
        <v>22</v>
      </c>
      <c r="H134" s="10" t="s">
        <v>487</v>
      </c>
      <c r="I134" s="10" t="s">
        <v>56</v>
      </c>
      <c r="J134" s="12" t="s">
        <v>488</v>
      </c>
      <c r="K134" s="19" t="s">
        <v>22</v>
      </c>
      <c r="L134" s="10" t="s">
        <v>73</v>
      </c>
      <c r="M134" s="11">
        <f t="shared" ref="M134:M135" si="5">D134+1</f>
        <v>45751</v>
      </c>
      <c r="N134" s="11">
        <f t="shared" si="4"/>
        <v>45751</v>
      </c>
      <c r="O134" s="10" t="s">
        <v>27</v>
      </c>
      <c r="P134" s="10" t="s">
        <v>28</v>
      </c>
      <c r="Q134" s="10"/>
      <c r="R134" s="14">
        <v>2</v>
      </c>
    </row>
    <row r="135" spans="1:19" ht="14.1" customHeight="1" x14ac:dyDescent="0.25">
      <c r="A135" s="21">
        <v>6</v>
      </c>
      <c r="B135" s="9" t="s">
        <v>489</v>
      </c>
      <c r="C135" s="10" t="s">
        <v>49</v>
      </c>
      <c r="D135" s="11">
        <v>45751</v>
      </c>
      <c r="E135" s="10" t="s">
        <v>211</v>
      </c>
      <c r="F135" s="10" t="s">
        <v>21</v>
      </c>
      <c r="G135" s="10" t="s">
        <v>22</v>
      </c>
      <c r="H135" s="10" t="s">
        <v>212</v>
      </c>
      <c r="I135" s="10" t="s">
        <v>56</v>
      </c>
      <c r="J135" s="22" t="s">
        <v>295</v>
      </c>
      <c r="K135" s="19" t="s">
        <v>22</v>
      </c>
      <c r="L135" s="10" t="s">
        <v>108</v>
      </c>
      <c r="M135" s="11">
        <f t="shared" si="5"/>
        <v>45752</v>
      </c>
      <c r="N135" s="11">
        <f t="shared" si="4"/>
        <v>45752</v>
      </c>
      <c r="O135" s="10" t="s">
        <v>39</v>
      </c>
      <c r="P135" s="10" t="s">
        <v>28</v>
      </c>
      <c r="Q135" s="26" t="s">
        <v>297</v>
      </c>
      <c r="R135" s="14">
        <v>4</v>
      </c>
    </row>
    <row r="136" spans="1:19" x14ac:dyDescent="0.25">
      <c r="A136" s="21">
        <v>7</v>
      </c>
      <c r="B136" s="9" t="s">
        <v>490</v>
      </c>
      <c r="C136" s="10" t="s">
        <v>19</v>
      </c>
      <c r="D136" s="11">
        <v>45754</v>
      </c>
      <c r="E136" s="10" t="s">
        <v>416</v>
      </c>
      <c r="F136" s="10" t="s">
        <v>21</v>
      </c>
      <c r="G136" s="10" t="s">
        <v>22</v>
      </c>
      <c r="H136" s="10" t="s">
        <v>417</v>
      </c>
      <c r="I136" s="10" t="s">
        <v>23</v>
      </c>
      <c r="J136" s="12" t="s">
        <v>491</v>
      </c>
      <c r="K136" s="19" t="s">
        <v>22</v>
      </c>
      <c r="L136" s="10" t="s">
        <v>26</v>
      </c>
      <c r="M136" s="11">
        <f>D136+7</f>
        <v>45761</v>
      </c>
      <c r="N136" s="11">
        <f t="shared" ref="N136:N137" si="6">M136+1</f>
        <v>45762</v>
      </c>
      <c r="O136" s="10" t="s">
        <v>27</v>
      </c>
      <c r="P136" s="10" t="s">
        <v>65</v>
      </c>
      <c r="Q136" s="10"/>
      <c r="R136" s="14">
        <v>1</v>
      </c>
    </row>
    <row r="137" spans="1:19" x14ac:dyDescent="0.25">
      <c r="A137" s="21">
        <v>8</v>
      </c>
      <c r="B137" s="9" t="s">
        <v>492</v>
      </c>
      <c r="C137" s="10" t="s">
        <v>49</v>
      </c>
      <c r="D137" s="11">
        <v>45751</v>
      </c>
      <c r="E137" s="10" t="s">
        <v>327</v>
      </c>
      <c r="F137" s="10" t="s">
        <v>328</v>
      </c>
      <c r="G137" s="10" t="s">
        <v>22</v>
      </c>
      <c r="H137" s="10"/>
      <c r="I137" s="10" t="s">
        <v>50</v>
      </c>
      <c r="J137" s="22" t="s">
        <v>493</v>
      </c>
      <c r="K137" s="19" t="s">
        <v>22</v>
      </c>
      <c r="L137" s="10" t="s">
        <v>69</v>
      </c>
      <c r="M137" s="11">
        <f>D137</f>
        <v>45751</v>
      </c>
      <c r="N137" s="11">
        <f t="shared" si="6"/>
        <v>45752</v>
      </c>
      <c r="O137" s="10" t="s">
        <v>27</v>
      </c>
      <c r="P137" s="10" t="s">
        <v>28</v>
      </c>
      <c r="Q137" s="10"/>
      <c r="R137" s="14">
        <v>2</v>
      </c>
    </row>
    <row r="138" spans="1:19" x14ac:dyDescent="0.25">
      <c r="A138" s="21">
        <v>9</v>
      </c>
      <c r="B138" s="9" t="s">
        <v>494</v>
      </c>
      <c r="C138" s="10" t="s">
        <v>49</v>
      </c>
      <c r="D138" s="11">
        <v>45756</v>
      </c>
      <c r="E138" s="10" t="s">
        <v>495</v>
      </c>
      <c r="F138" s="10" t="s">
        <v>410</v>
      </c>
      <c r="G138" s="10" t="s">
        <v>22</v>
      </c>
      <c r="H138" s="10" t="s">
        <v>496</v>
      </c>
      <c r="I138" s="10" t="s">
        <v>50</v>
      </c>
      <c r="J138" s="12" t="s">
        <v>497</v>
      </c>
      <c r="K138" s="19" t="s">
        <v>22</v>
      </c>
      <c r="L138" s="10" t="s">
        <v>69</v>
      </c>
      <c r="M138" s="11">
        <f>D138+23</f>
        <v>45779</v>
      </c>
      <c r="N138" s="11">
        <f>M138+1</f>
        <v>45780</v>
      </c>
      <c r="O138" s="10" t="s">
        <v>27</v>
      </c>
      <c r="P138" s="10" t="s">
        <v>28</v>
      </c>
      <c r="Q138" s="10"/>
      <c r="R138" s="14">
        <v>1</v>
      </c>
    </row>
    <row r="139" spans="1:19" x14ac:dyDescent="0.25">
      <c r="A139" s="21">
        <v>10</v>
      </c>
      <c r="B139" s="9" t="s">
        <v>498</v>
      </c>
      <c r="C139" s="10" t="s">
        <v>19</v>
      </c>
      <c r="D139" s="11">
        <v>45755</v>
      </c>
      <c r="E139" s="10" t="s">
        <v>116</v>
      </c>
      <c r="F139" s="10" t="s">
        <v>21</v>
      </c>
      <c r="G139" s="10" t="s">
        <v>22</v>
      </c>
      <c r="H139" s="10" t="s">
        <v>499</v>
      </c>
      <c r="I139" s="10" t="s">
        <v>23</v>
      </c>
      <c r="J139" s="12" t="s">
        <v>500</v>
      </c>
      <c r="K139" s="19" t="s">
        <v>22</v>
      </c>
      <c r="L139" s="10" t="s">
        <v>26</v>
      </c>
      <c r="M139" s="11">
        <f>D139+3</f>
        <v>45758</v>
      </c>
      <c r="N139" s="11">
        <f>M139+7</f>
        <v>45765</v>
      </c>
      <c r="O139" s="10" t="s">
        <v>39</v>
      </c>
      <c r="P139" s="10" t="s">
        <v>28</v>
      </c>
      <c r="Q139" s="10"/>
      <c r="R139" s="14">
        <v>3</v>
      </c>
    </row>
    <row r="140" spans="1:19" x14ac:dyDescent="0.25">
      <c r="A140" s="21">
        <v>11</v>
      </c>
      <c r="B140" s="9" t="s">
        <v>501</v>
      </c>
      <c r="C140" s="10" t="s">
        <v>49</v>
      </c>
      <c r="D140" s="11">
        <v>45755</v>
      </c>
      <c r="E140" s="10" t="s">
        <v>502</v>
      </c>
      <c r="F140" s="10" t="s">
        <v>21</v>
      </c>
      <c r="G140" s="10" t="s">
        <v>22</v>
      </c>
      <c r="H140" s="10" t="s">
        <v>503</v>
      </c>
      <c r="I140" s="10" t="s">
        <v>50</v>
      </c>
      <c r="J140" s="12" t="s">
        <v>504</v>
      </c>
      <c r="K140" s="19" t="s">
        <v>22</v>
      </c>
      <c r="L140" s="10" t="s">
        <v>26</v>
      </c>
      <c r="M140" s="11">
        <f>D140+10</f>
        <v>45765</v>
      </c>
      <c r="N140" s="11">
        <f>M140</f>
        <v>45765</v>
      </c>
      <c r="O140" s="10" t="s">
        <v>27</v>
      </c>
      <c r="P140" s="10" t="s">
        <v>65</v>
      </c>
      <c r="Q140" s="10"/>
      <c r="R140" s="14">
        <v>16</v>
      </c>
    </row>
    <row r="141" spans="1:19" x14ac:dyDescent="0.25">
      <c r="A141" s="21">
        <v>12</v>
      </c>
      <c r="B141" s="9" t="s">
        <v>505</v>
      </c>
      <c r="C141" s="10" t="s">
        <v>35</v>
      </c>
      <c r="D141" s="11">
        <v>45756</v>
      </c>
      <c r="E141" s="10" t="s">
        <v>245</v>
      </c>
      <c r="F141" s="10" t="s">
        <v>21</v>
      </c>
      <c r="G141" s="10" t="s">
        <v>22</v>
      </c>
      <c r="H141" s="10" t="s">
        <v>353</v>
      </c>
      <c r="I141" s="10" t="s">
        <v>23</v>
      </c>
      <c r="J141" s="12" t="s">
        <v>506</v>
      </c>
      <c r="K141" s="19" t="s">
        <v>22</v>
      </c>
      <c r="L141" s="10" t="s">
        <v>83</v>
      </c>
      <c r="M141" s="11">
        <f>D141+10</f>
        <v>45766</v>
      </c>
      <c r="N141" s="11">
        <f>M141</f>
        <v>45766</v>
      </c>
      <c r="O141" s="10" t="s">
        <v>27</v>
      </c>
      <c r="P141" s="10" t="s">
        <v>28</v>
      </c>
      <c r="Q141" s="10"/>
      <c r="R141" s="14">
        <v>2</v>
      </c>
    </row>
    <row r="142" spans="1:19" x14ac:dyDescent="0.25">
      <c r="A142" s="21">
        <v>13</v>
      </c>
      <c r="B142" s="9" t="s">
        <v>507</v>
      </c>
      <c r="C142" s="10" t="s">
        <v>19</v>
      </c>
      <c r="D142" s="11">
        <v>45763</v>
      </c>
      <c r="E142" s="10" t="s">
        <v>508</v>
      </c>
      <c r="F142" s="10" t="s">
        <v>42</v>
      </c>
      <c r="G142" s="10" t="s">
        <v>22</v>
      </c>
      <c r="H142" s="10" t="s">
        <v>68</v>
      </c>
      <c r="I142" s="10" t="s">
        <v>23</v>
      </c>
      <c r="J142" s="12" t="s">
        <v>509</v>
      </c>
      <c r="K142" s="19" t="s">
        <v>22</v>
      </c>
      <c r="L142" s="10" t="s">
        <v>95</v>
      </c>
      <c r="M142" s="11">
        <f>D142+7</f>
        <v>45770</v>
      </c>
      <c r="N142" s="11">
        <f>M142</f>
        <v>45770</v>
      </c>
      <c r="O142" s="10" t="s">
        <v>27</v>
      </c>
      <c r="P142" s="10" t="s">
        <v>45</v>
      </c>
      <c r="Q142" s="10"/>
      <c r="R142" s="14">
        <v>2</v>
      </c>
    </row>
    <row r="143" spans="1:19" x14ac:dyDescent="0.25">
      <c r="A143" s="21">
        <v>14</v>
      </c>
      <c r="B143" s="9" t="s">
        <v>510</v>
      </c>
      <c r="C143" s="10" t="s">
        <v>19</v>
      </c>
      <c r="D143" s="11">
        <v>45764</v>
      </c>
      <c r="E143" s="10" t="s">
        <v>273</v>
      </c>
      <c r="F143" s="10" t="s">
        <v>21</v>
      </c>
      <c r="G143" s="10" t="s">
        <v>22</v>
      </c>
      <c r="H143" s="10" t="s">
        <v>511</v>
      </c>
      <c r="I143" s="10" t="s">
        <v>23</v>
      </c>
      <c r="J143" s="12" t="s">
        <v>512</v>
      </c>
      <c r="K143" s="19" t="s">
        <v>22</v>
      </c>
      <c r="L143" s="10" t="s">
        <v>26</v>
      </c>
      <c r="M143" s="11">
        <f>D143+23</f>
        <v>45787</v>
      </c>
      <c r="N143" s="11">
        <f>M143</f>
        <v>45787</v>
      </c>
      <c r="O143" s="10" t="s">
        <v>52</v>
      </c>
      <c r="P143" s="10" t="s">
        <v>45</v>
      </c>
      <c r="Q143" s="10"/>
      <c r="R143" s="14">
        <v>7</v>
      </c>
    </row>
    <row r="144" spans="1:19" x14ac:dyDescent="0.25">
      <c r="A144" s="21">
        <v>15</v>
      </c>
      <c r="B144" s="9" t="s">
        <v>513</v>
      </c>
      <c r="C144" s="10" t="s">
        <v>35</v>
      </c>
      <c r="D144" s="11">
        <v>45755</v>
      </c>
      <c r="E144" s="10" t="s">
        <v>224</v>
      </c>
      <c r="F144" s="10" t="s">
        <v>21</v>
      </c>
      <c r="G144" s="10" t="s">
        <v>22</v>
      </c>
      <c r="H144" s="10" t="s">
        <v>514</v>
      </c>
      <c r="I144" s="10" t="s">
        <v>23</v>
      </c>
      <c r="J144" s="12" t="s">
        <v>515</v>
      </c>
      <c r="K144" s="19" t="s">
        <v>22</v>
      </c>
      <c r="L144" s="10" t="s">
        <v>73</v>
      </c>
      <c r="M144" s="11">
        <v>45755</v>
      </c>
      <c r="N144" s="11">
        <v>45755</v>
      </c>
      <c r="O144" s="10" t="s">
        <v>27</v>
      </c>
      <c r="P144" s="10" t="s">
        <v>28</v>
      </c>
      <c r="Q144" s="10"/>
      <c r="R144" s="14">
        <v>2</v>
      </c>
    </row>
    <row r="145" spans="1:18" x14ac:dyDescent="0.25">
      <c r="A145" s="21">
        <v>16</v>
      </c>
      <c r="B145" s="9" t="s">
        <v>516</v>
      </c>
      <c r="C145" s="10" t="s">
        <v>35</v>
      </c>
      <c r="D145" s="11">
        <v>45758</v>
      </c>
      <c r="E145" s="10" t="s">
        <v>224</v>
      </c>
      <c r="F145" s="10" t="s">
        <v>21</v>
      </c>
      <c r="G145" s="10" t="s">
        <v>22</v>
      </c>
      <c r="H145" s="10" t="s">
        <v>368</v>
      </c>
      <c r="I145" s="10" t="s">
        <v>23</v>
      </c>
      <c r="J145" s="12" t="s">
        <v>517</v>
      </c>
      <c r="K145" s="19" t="s">
        <v>22</v>
      </c>
      <c r="L145" s="10" t="s">
        <v>73</v>
      </c>
      <c r="M145" s="11">
        <v>45758</v>
      </c>
      <c r="N145" s="11">
        <v>45758</v>
      </c>
      <c r="O145" s="10" t="s">
        <v>27</v>
      </c>
      <c r="P145" s="10" t="s">
        <v>28</v>
      </c>
      <c r="Q145" s="10"/>
      <c r="R145" s="14">
        <v>2</v>
      </c>
    </row>
    <row r="146" spans="1:18" x14ac:dyDescent="0.25">
      <c r="A146" s="21">
        <v>17</v>
      </c>
      <c r="B146" s="9" t="s">
        <v>518</v>
      </c>
      <c r="C146" s="10" t="s">
        <v>19</v>
      </c>
      <c r="D146" s="11">
        <v>45769</v>
      </c>
      <c r="E146" s="10" t="s">
        <v>508</v>
      </c>
      <c r="F146" s="10" t="s">
        <v>42</v>
      </c>
      <c r="G146" s="10" t="s">
        <v>22</v>
      </c>
      <c r="H146" s="10" t="s">
        <v>68</v>
      </c>
      <c r="I146" s="10" t="s">
        <v>23</v>
      </c>
      <c r="J146" s="12" t="s">
        <v>519</v>
      </c>
      <c r="K146" s="19" t="s">
        <v>22</v>
      </c>
      <c r="L146" s="10" t="s">
        <v>26</v>
      </c>
      <c r="M146" s="11">
        <f>D146</f>
        <v>45769</v>
      </c>
      <c r="N146" s="11">
        <f t="shared" ref="N146:N155" si="7">M146</f>
        <v>45769</v>
      </c>
      <c r="O146" s="10" t="s">
        <v>27</v>
      </c>
      <c r="P146" s="10" t="s">
        <v>58</v>
      </c>
      <c r="Q146" s="10"/>
      <c r="R146" s="14">
        <v>1</v>
      </c>
    </row>
    <row r="147" spans="1:18" x14ac:dyDescent="0.25">
      <c r="A147" s="21">
        <v>18</v>
      </c>
      <c r="B147" s="9" t="s">
        <v>520</v>
      </c>
      <c r="C147" s="10" t="s">
        <v>19</v>
      </c>
      <c r="D147" s="11">
        <v>45769</v>
      </c>
      <c r="E147" s="10" t="s">
        <v>224</v>
      </c>
      <c r="F147" s="10" t="s">
        <v>21</v>
      </c>
      <c r="G147" s="10">
        <v>24084</v>
      </c>
      <c r="H147" s="10" t="s">
        <v>521</v>
      </c>
      <c r="I147" s="10" t="s">
        <v>23</v>
      </c>
      <c r="J147" s="12" t="s">
        <v>522</v>
      </c>
      <c r="K147" s="19" t="s">
        <v>22</v>
      </c>
      <c r="L147" s="10" t="s">
        <v>83</v>
      </c>
      <c r="M147" s="11">
        <f>D147</f>
        <v>45769</v>
      </c>
      <c r="N147" s="11">
        <f t="shared" si="7"/>
        <v>45769</v>
      </c>
      <c r="O147" s="10" t="s">
        <v>27</v>
      </c>
      <c r="P147" s="10" t="s">
        <v>65</v>
      </c>
      <c r="Q147" s="10"/>
      <c r="R147" s="14">
        <v>8</v>
      </c>
    </row>
    <row r="148" spans="1:18" x14ac:dyDescent="0.25">
      <c r="A148" s="21">
        <v>19</v>
      </c>
      <c r="B148" s="9" t="s">
        <v>523</v>
      </c>
      <c r="C148" s="10" t="s">
        <v>19</v>
      </c>
      <c r="D148" s="11">
        <v>45769</v>
      </c>
      <c r="E148" s="10" t="s">
        <v>524</v>
      </c>
      <c r="F148" s="10" t="s">
        <v>21</v>
      </c>
      <c r="G148" s="10" t="s">
        <v>22</v>
      </c>
      <c r="H148" s="10"/>
      <c r="I148" s="10" t="s">
        <v>23</v>
      </c>
      <c r="J148" s="12" t="s">
        <v>525</v>
      </c>
      <c r="K148" s="19" t="s">
        <v>22</v>
      </c>
      <c r="L148" s="10" t="s">
        <v>26</v>
      </c>
      <c r="M148" s="11">
        <f>D148+1</f>
        <v>45770</v>
      </c>
      <c r="N148" s="11">
        <f t="shared" si="7"/>
        <v>45770</v>
      </c>
      <c r="O148" s="10" t="s">
        <v>27</v>
      </c>
      <c r="P148" s="10" t="s">
        <v>58</v>
      </c>
      <c r="Q148" s="10"/>
      <c r="R148" s="14">
        <v>1</v>
      </c>
    </row>
    <row r="149" spans="1:18" x14ac:dyDescent="0.25">
      <c r="A149" s="21">
        <v>20</v>
      </c>
      <c r="B149" s="9" t="s">
        <v>526</v>
      </c>
      <c r="C149" s="10" t="s">
        <v>35</v>
      </c>
      <c r="D149" s="11">
        <v>45770</v>
      </c>
      <c r="E149" s="10" t="s">
        <v>527</v>
      </c>
      <c r="F149" s="10" t="s">
        <v>21</v>
      </c>
      <c r="G149" s="10" t="s">
        <v>22</v>
      </c>
      <c r="H149" s="10"/>
      <c r="I149" s="10" t="s">
        <v>50</v>
      </c>
      <c r="J149" s="12" t="s">
        <v>528</v>
      </c>
      <c r="K149" s="19" t="s">
        <v>22</v>
      </c>
      <c r="L149" s="10" t="s">
        <v>95</v>
      </c>
      <c r="M149" s="11">
        <f>D149+1</f>
        <v>45771</v>
      </c>
      <c r="N149" s="11">
        <f t="shared" si="7"/>
        <v>45771</v>
      </c>
      <c r="O149" s="10" t="s">
        <v>27</v>
      </c>
      <c r="P149" s="10" t="s">
        <v>28</v>
      </c>
      <c r="Q149" s="10"/>
      <c r="R149" s="14">
        <v>4</v>
      </c>
    </row>
    <row r="150" spans="1:18" x14ac:dyDescent="0.25">
      <c r="A150" s="21">
        <v>21</v>
      </c>
      <c r="B150" s="9" t="s">
        <v>529</v>
      </c>
      <c r="C150" s="10" t="s">
        <v>19</v>
      </c>
      <c r="D150" s="11">
        <v>45770</v>
      </c>
      <c r="E150" s="10" t="s">
        <v>530</v>
      </c>
      <c r="F150" s="10" t="s">
        <v>42</v>
      </c>
      <c r="G150" s="10" t="s">
        <v>22</v>
      </c>
      <c r="H150" s="10"/>
      <c r="I150" s="10" t="s">
        <v>23</v>
      </c>
      <c r="J150" s="12" t="s">
        <v>531</v>
      </c>
      <c r="K150" s="19" t="s">
        <v>22</v>
      </c>
      <c r="L150" s="10" t="s">
        <v>30</v>
      </c>
      <c r="M150" s="11">
        <f>D150+1</f>
        <v>45771</v>
      </c>
      <c r="N150" s="11">
        <f t="shared" si="7"/>
        <v>45771</v>
      </c>
      <c r="O150" s="10" t="s">
        <v>27</v>
      </c>
      <c r="P150" s="10" t="s">
        <v>45</v>
      </c>
      <c r="Q150" s="10"/>
      <c r="R150" s="14">
        <v>1</v>
      </c>
    </row>
    <row r="151" spans="1:18" x14ac:dyDescent="0.25">
      <c r="A151" s="21">
        <v>22</v>
      </c>
      <c r="B151" s="9" t="s">
        <v>532</v>
      </c>
      <c r="C151" s="10" t="s">
        <v>35</v>
      </c>
      <c r="D151" s="11">
        <v>45769</v>
      </c>
      <c r="E151" s="10" t="s">
        <v>524</v>
      </c>
      <c r="F151" s="10" t="s">
        <v>21</v>
      </c>
      <c r="G151" s="10" t="s">
        <v>22</v>
      </c>
      <c r="H151" s="10"/>
      <c r="I151" s="10" t="s">
        <v>23</v>
      </c>
      <c r="J151" s="12" t="s">
        <v>533</v>
      </c>
      <c r="K151" s="19" t="s">
        <v>22</v>
      </c>
      <c r="L151" s="10" t="s">
        <v>73</v>
      </c>
      <c r="M151" s="11">
        <f>D151+3</f>
        <v>45772</v>
      </c>
      <c r="N151" s="11">
        <f t="shared" si="7"/>
        <v>45772</v>
      </c>
      <c r="O151" s="10" t="s">
        <v>27</v>
      </c>
      <c r="P151" s="10" t="s">
        <v>58</v>
      </c>
      <c r="Q151" s="10"/>
      <c r="R151" s="14">
        <v>1</v>
      </c>
    </row>
    <row r="152" spans="1:18" x14ac:dyDescent="0.25">
      <c r="A152" s="21">
        <v>23</v>
      </c>
      <c r="B152" s="9" t="s">
        <v>534</v>
      </c>
      <c r="C152" s="10" t="s">
        <v>19</v>
      </c>
      <c r="D152" s="11">
        <v>45775</v>
      </c>
      <c r="E152" s="10" t="s">
        <v>291</v>
      </c>
      <c r="F152" s="10" t="s">
        <v>42</v>
      </c>
      <c r="G152" s="10" t="s">
        <v>22</v>
      </c>
      <c r="H152" s="10" t="s">
        <v>292</v>
      </c>
      <c r="I152" s="10" t="s">
        <v>23</v>
      </c>
      <c r="J152" s="12" t="s">
        <v>535</v>
      </c>
      <c r="K152" s="19" t="s">
        <v>22</v>
      </c>
      <c r="L152" s="10" t="s">
        <v>26</v>
      </c>
      <c r="M152" s="11">
        <f>D152</f>
        <v>45775</v>
      </c>
      <c r="N152" s="11">
        <f t="shared" si="7"/>
        <v>45775</v>
      </c>
      <c r="O152" s="10" t="s">
        <v>27</v>
      </c>
      <c r="P152" s="10" t="s">
        <v>58</v>
      </c>
      <c r="Q152" s="10"/>
      <c r="R152" s="14">
        <v>1</v>
      </c>
    </row>
    <row r="153" spans="1:18" x14ac:dyDescent="0.25">
      <c r="A153" s="21">
        <v>24</v>
      </c>
      <c r="B153" s="9" t="s">
        <v>536</v>
      </c>
      <c r="C153" s="10" t="s">
        <v>19</v>
      </c>
      <c r="D153" s="11">
        <v>45771</v>
      </c>
      <c r="E153" s="10" t="s">
        <v>228</v>
      </c>
      <c r="F153" s="10" t="s">
        <v>42</v>
      </c>
      <c r="G153" s="10" t="s">
        <v>22</v>
      </c>
      <c r="H153" s="10" t="s">
        <v>537</v>
      </c>
      <c r="I153" s="10" t="s">
        <v>23</v>
      </c>
      <c r="J153" s="12" t="s">
        <v>538</v>
      </c>
      <c r="K153" s="19" t="s">
        <v>22</v>
      </c>
      <c r="L153" s="10" t="s">
        <v>26</v>
      </c>
      <c r="M153" s="11">
        <f>D153+4</f>
        <v>45775</v>
      </c>
      <c r="N153" s="11">
        <f t="shared" si="7"/>
        <v>45775</v>
      </c>
      <c r="O153" s="10" t="s">
        <v>46</v>
      </c>
      <c r="P153" s="10" t="s">
        <v>28</v>
      </c>
      <c r="Q153" s="10"/>
      <c r="R153" s="14">
        <v>4</v>
      </c>
    </row>
    <row r="154" spans="1:18" x14ac:dyDescent="0.25">
      <c r="A154" s="21">
        <v>25</v>
      </c>
      <c r="B154" s="9" t="s">
        <v>539</v>
      </c>
      <c r="C154" s="10" t="s">
        <v>35</v>
      </c>
      <c r="D154" s="11">
        <v>45770</v>
      </c>
      <c r="E154" s="10" t="s">
        <v>159</v>
      </c>
      <c r="F154" s="10" t="s">
        <v>21</v>
      </c>
      <c r="G154" s="10" t="s">
        <v>22</v>
      </c>
      <c r="H154" s="10"/>
      <c r="I154" s="10" t="s">
        <v>50</v>
      </c>
      <c r="J154" s="12" t="s">
        <v>540</v>
      </c>
      <c r="K154" s="19" t="s">
        <v>22</v>
      </c>
      <c r="L154" s="10" t="s">
        <v>89</v>
      </c>
      <c r="M154" s="11">
        <f>D154+9</f>
        <v>45779</v>
      </c>
      <c r="N154" s="11">
        <f t="shared" si="7"/>
        <v>45779</v>
      </c>
      <c r="O154" s="10" t="s">
        <v>27</v>
      </c>
      <c r="P154" s="10" t="s">
        <v>58</v>
      </c>
      <c r="Q154" s="10"/>
      <c r="R154" s="14">
        <v>1</v>
      </c>
    </row>
    <row r="155" spans="1:18" x14ac:dyDescent="0.25">
      <c r="A155" s="21">
        <v>26</v>
      </c>
      <c r="B155" s="9" t="s">
        <v>541</v>
      </c>
      <c r="C155" s="10" t="s">
        <v>35</v>
      </c>
      <c r="D155" s="11">
        <v>45771</v>
      </c>
      <c r="E155" s="10" t="s">
        <v>224</v>
      </c>
      <c r="F155" s="10" t="s">
        <v>21</v>
      </c>
      <c r="G155" s="10" t="s">
        <v>22</v>
      </c>
      <c r="H155" s="10" t="s">
        <v>542</v>
      </c>
      <c r="I155" s="10" t="s">
        <v>23</v>
      </c>
      <c r="J155" s="12" t="s">
        <v>543</v>
      </c>
      <c r="K155" s="19" t="s">
        <v>22</v>
      </c>
      <c r="L155" s="10" t="s">
        <v>73</v>
      </c>
      <c r="M155" s="11">
        <f>D155+9</f>
        <v>45780</v>
      </c>
      <c r="N155" s="11">
        <f t="shared" si="7"/>
        <v>45780</v>
      </c>
      <c r="O155" s="10" t="s">
        <v>27</v>
      </c>
      <c r="P155" s="10" t="s">
        <v>28</v>
      </c>
      <c r="Q155" s="10"/>
      <c r="R155" s="14">
        <v>1</v>
      </c>
    </row>
    <row r="156" spans="1:18" x14ac:dyDescent="0.25">
      <c r="A156" s="21">
        <v>27</v>
      </c>
      <c r="B156" s="9" t="s">
        <v>544</v>
      </c>
      <c r="C156" s="10" t="s">
        <v>19</v>
      </c>
      <c r="D156" s="11">
        <v>45770</v>
      </c>
      <c r="E156" s="10" t="s">
        <v>273</v>
      </c>
      <c r="F156" s="10" t="s">
        <v>21</v>
      </c>
      <c r="G156" s="10" t="s">
        <v>22</v>
      </c>
      <c r="H156" s="10" t="s">
        <v>545</v>
      </c>
      <c r="I156" s="10" t="s">
        <v>23</v>
      </c>
      <c r="J156" s="12" t="s">
        <v>546</v>
      </c>
      <c r="K156" s="19" t="s">
        <v>22</v>
      </c>
      <c r="L156" s="10" t="s">
        <v>123</v>
      </c>
      <c r="M156" s="11">
        <f>D156</f>
        <v>45770</v>
      </c>
      <c r="N156" s="11">
        <f>M156</f>
        <v>45770</v>
      </c>
      <c r="O156" s="10" t="s">
        <v>27</v>
      </c>
      <c r="P156" s="10" t="s">
        <v>45</v>
      </c>
      <c r="Q156" s="10"/>
      <c r="R156" s="14">
        <v>2</v>
      </c>
    </row>
    <row r="157" spans="1:18" x14ac:dyDescent="0.25">
      <c r="A157" s="21">
        <v>28</v>
      </c>
      <c r="B157" s="9" t="s">
        <v>547</v>
      </c>
      <c r="C157" s="10" t="s">
        <v>19</v>
      </c>
      <c r="D157" s="11">
        <v>45769</v>
      </c>
      <c r="E157" s="10" t="s">
        <v>548</v>
      </c>
      <c r="F157" s="10" t="s">
        <v>42</v>
      </c>
      <c r="G157" s="10" t="s">
        <v>22</v>
      </c>
      <c r="H157" s="10"/>
      <c r="I157" s="10" t="s">
        <v>23</v>
      </c>
      <c r="J157" s="12" t="s">
        <v>549</v>
      </c>
      <c r="K157" s="19" t="s">
        <v>22</v>
      </c>
      <c r="L157" s="10" t="s">
        <v>117</v>
      </c>
      <c r="M157" s="11">
        <f>D157</f>
        <v>45769</v>
      </c>
      <c r="N157" s="11">
        <f>M157</f>
        <v>45769</v>
      </c>
      <c r="O157" s="10" t="s">
        <v>27</v>
      </c>
      <c r="P157" s="10" t="s">
        <v>28</v>
      </c>
      <c r="Q157" s="10"/>
      <c r="R157" s="14">
        <v>1</v>
      </c>
    </row>
    <row r="158" spans="1:18" x14ac:dyDescent="0.25">
      <c r="A158" s="21">
        <v>29</v>
      </c>
      <c r="B158" s="9" t="s">
        <v>550</v>
      </c>
      <c r="C158" s="10" t="s">
        <v>19</v>
      </c>
      <c r="D158" s="11">
        <v>45775</v>
      </c>
      <c r="E158" s="10" t="s">
        <v>551</v>
      </c>
      <c r="F158" s="10" t="s">
        <v>42</v>
      </c>
      <c r="G158" s="10" t="s">
        <v>22</v>
      </c>
      <c r="H158" s="10"/>
      <c r="I158" s="10" t="s">
        <v>68</v>
      </c>
      <c r="J158" s="12" t="s">
        <v>552</v>
      </c>
      <c r="K158" s="19" t="s">
        <v>22</v>
      </c>
      <c r="L158" s="10" t="s">
        <v>26</v>
      </c>
      <c r="M158" s="11">
        <f>D158+9</f>
        <v>45784</v>
      </c>
      <c r="N158" s="11">
        <f>M158</f>
        <v>45784</v>
      </c>
      <c r="O158" s="10" t="s">
        <v>27</v>
      </c>
      <c r="P158" s="10" t="s">
        <v>58</v>
      </c>
      <c r="Q158" s="10"/>
      <c r="R158" s="14">
        <v>4.5</v>
      </c>
    </row>
    <row r="159" spans="1:18" x14ac:dyDescent="0.25">
      <c r="A159" s="21">
        <v>30</v>
      </c>
      <c r="B159" s="9" t="s">
        <v>553</v>
      </c>
      <c r="C159" s="10" t="s">
        <v>19</v>
      </c>
      <c r="D159" s="11">
        <v>45776</v>
      </c>
      <c r="E159" s="10" t="s">
        <v>291</v>
      </c>
      <c r="F159" s="10" t="s">
        <v>42</v>
      </c>
      <c r="G159" s="10" t="s">
        <v>22</v>
      </c>
      <c r="H159" s="10" t="s">
        <v>554</v>
      </c>
      <c r="I159" s="10" t="s">
        <v>68</v>
      </c>
      <c r="J159" s="12" t="s">
        <v>555</v>
      </c>
      <c r="K159" s="19" t="s">
        <v>22</v>
      </c>
      <c r="L159" s="10" t="s">
        <v>26</v>
      </c>
      <c r="M159" s="11">
        <f>D159+14</f>
        <v>45790</v>
      </c>
      <c r="N159" s="11">
        <f t="shared" ref="N159:N160" si="8">M159</f>
        <v>45790</v>
      </c>
      <c r="O159" s="10" t="s">
        <v>27</v>
      </c>
      <c r="P159" s="10" t="s">
        <v>38</v>
      </c>
      <c r="Q159" s="10"/>
      <c r="R159" s="14">
        <v>1</v>
      </c>
    </row>
    <row r="160" spans="1:18" x14ac:dyDescent="0.25">
      <c r="A160" s="21">
        <v>31</v>
      </c>
      <c r="B160" s="9" t="s">
        <v>556</v>
      </c>
      <c r="C160" s="10" t="s">
        <v>19</v>
      </c>
      <c r="D160" s="11">
        <v>45775</v>
      </c>
      <c r="E160" s="10" t="s">
        <v>224</v>
      </c>
      <c r="F160" s="10" t="s">
        <v>21</v>
      </c>
      <c r="G160" s="10" t="s">
        <v>22</v>
      </c>
      <c r="H160" s="10" t="s">
        <v>542</v>
      </c>
      <c r="I160" s="10" t="s">
        <v>23</v>
      </c>
      <c r="J160" s="12" t="s">
        <v>557</v>
      </c>
      <c r="K160" s="19" t="s">
        <v>22</v>
      </c>
      <c r="L160" s="10" t="s">
        <v>79</v>
      </c>
      <c r="M160" s="11">
        <f>D160+9</f>
        <v>45784</v>
      </c>
      <c r="N160" s="11">
        <f t="shared" si="8"/>
        <v>45784</v>
      </c>
      <c r="O160" s="10" t="s">
        <v>27</v>
      </c>
      <c r="P160" s="10" t="s">
        <v>28</v>
      </c>
      <c r="Q160" s="10"/>
      <c r="R160" s="14">
        <v>1</v>
      </c>
    </row>
    <row r="161" spans="1:19" x14ac:dyDescent="0.25">
      <c r="A161" s="21">
        <v>32</v>
      </c>
      <c r="B161" s="9" t="s">
        <v>558</v>
      </c>
      <c r="C161" s="10" t="s">
        <v>19</v>
      </c>
      <c r="D161" s="11">
        <v>45776</v>
      </c>
      <c r="E161" s="10" t="s">
        <v>454</v>
      </c>
      <c r="F161" s="10" t="s">
        <v>455</v>
      </c>
      <c r="G161" s="10" t="s">
        <v>22</v>
      </c>
      <c r="H161" s="10"/>
      <c r="I161" s="10" t="s">
        <v>23</v>
      </c>
      <c r="J161" s="12" t="s">
        <v>559</v>
      </c>
      <c r="K161" s="19" t="s">
        <v>22</v>
      </c>
      <c r="L161" s="10" t="s">
        <v>44</v>
      </c>
      <c r="M161" s="11">
        <f>D161+9</f>
        <v>45785</v>
      </c>
      <c r="N161" s="11">
        <f>M161+42</f>
        <v>45827</v>
      </c>
      <c r="O161" s="10" t="s">
        <v>27</v>
      </c>
      <c r="P161" s="10" t="s">
        <v>58</v>
      </c>
      <c r="Q161" s="10"/>
      <c r="R161" s="14">
        <v>4</v>
      </c>
    </row>
    <row r="162" spans="1:19" x14ac:dyDescent="0.25">
      <c r="A162" s="21">
        <v>33</v>
      </c>
      <c r="B162" s="9" t="s">
        <v>560</v>
      </c>
      <c r="C162" s="10" t="s">
        <v>19</v>
      </c>
      <c r="D162" s="11">
        <v>45776</v>
      </c>
      <c r="E162" s="10" t="s">
        <v>454</v>
      </c>
      <c r="F162" s="10" t="s">
        <v>455</v>
      </c>
      <c r="G162" s="10" t="s">
        <v>22</v>
      </c>
      <c r="H162" s="10"/>
      <c r="I162" s="10" t="s">
        <v>23</v>
      </c>
      <c r="J162" s="12" t="s">
        <v>561</v>
      </c>
      <c r="K162" s="19" t="s">
        <v>22</v>
      </c>
      <c r="L162" s="10" t="s">
        <v>44</v>
      </c>
      <c r="M162" s="11">
        <f>D162+9</f>
        <v>45785</v>
      </c>
      <c r="N162" s="11">
        <f>M162+42</f>
        <v>45827</v>
      </c>
      <c r="O162" s="10" t="s">
        <v>27</v>
      </c>
      <c r="P162" s="10" t="s">
        <v>58</v>
      </c>
      <c r="Q162" s="10"/>
      <c r="R162" s="14">
        <v>4</v>
      </c>
    </row>
    <row r="163" spans="1:19" x14ac:dyDescent="0.25">
      <c r="A163" s="21">
        <v>34</v>
      </c>
      <c r="B163" s="9" t="s">
        <v>562</v>
      </c>
      <c r="C163" s="10" t="s">
        <v>35</v>
      </c>
      <c r="D163" s="11">
        <v>45777</v>
      </c>
      <c r="E163" s="10" t="s">
        <v>224</v>
      </c>
      <c r="F163" s="10" t="s">
        <v>21</v>
      </c>
      <c r="G163" s="10" t="s">
        <v>22</v>
      </c>
      <c r="H163" s="10" t="s">
        <v>563</v>
      </c>
      <c r="I163" s="10" t="s">
        <v>23</v>
      </c>
      <c r="J163" s="12" t="s">
        <v>564</v>
      </c>
      <c r="K163" s="19" t="s">
        <v>22</v>
      </c>
      <c r="L163" s="10" t="s">
        <v>73</v>
      </c>
      <c r="M163" s="11">
        <v>45777</v>
      </c>
      <c r="N163" s="11">
        <v>45777</v>
      </c>
      <c r="O163" s="10" t="s">
        <v>27</v>
      </c>
      <c r="P163" s="10" t="s">
        <v>65</v>
      </c>
      <c r="Q163" s="10"/>
      <c r="R163" s="14">
        <v>1</v>
      </c>
    </row>
    <row r="164" spans="1:19" x14ac:dyDescent="0.25">
      <c r="A164" s="21">
        <v>35</v>
      </c>
      <c r="B164" s="9" t="s">
        <v>565</v>
      </c>
      <c r="C164" s="10" t="s">
        <v>35</v>
      </c>
      <c r="D164" s="11">
        <v>45777</v>
      </c>
      <c r="E164" s="10" t="s">
        <v>224</v>
      </c>
      <c r="F164" s="10" t="s">
        <v>21</v>
      </c>
      <c r="G164" s="10" t="s">
        <v>22</v>
      </c>
      <c r="H164" s="10" t="s">
        <v>563</v>
      </c>
      <c r="I164" s="10" t="s">
        <v>23</v>
      </c>
      <c r="J164" s="12" t="s">
        <v>566</v>
      </c>
      <c r="K164" s="19" t="s">
        <v>22</v>
      </c>
      <c r="L164" s="10" t="s">
        <v>73</v>
      </c>
      <c r="M164" s="11">
        <v>45779</v>
      </c>
      <c r="N164" s="11">
        <f>M164</f>
        <v>45779</v>
      </c>
      <c r="O164" s="10" t="s">
        <v>27</v>
      </c>
      <c r="P164" s="10" t="s">
        <v>38</v>
      </c>
      <c r="Q164" s="10"/>
      <c r="R164" s="14">
        <v>1</v>
      </c>
      <c r="S164" s="24">
        <f>SUM(R130:R164)</f>
        <v>109.5</v>
      </c>
    </row>
    <row r="165" spans="1:19" x14ac:dyDescent="0.25">
      <c r="A165" s="25">
        <v>1</v>
      </c>
      <c r="B165" s="9" t="s">
        <v>567</v>
      </c>
      <c r="C165" s="10" t="s">
        <v>19</v>
      </c>
      <c r="D165" s="11">
        <v>45778</v>
      </c>
      <c r="E165" s="10" t="s">
        <v>450</v>
      </c>
      <c r="F165" s="10" t="s">
        <v>42</v>
      </c>
      <c r="G165" s="10" t="s">
        <v>22</v>
      </c>
      <c r="H165" s="10" t="s">
        <v>451</v>
      </c>
      <c r="I165" s="10" t="s">
        <v>23</v>
      </c>
      <c r="J165" s="12" t="s">
        <v>568</v>
      </c>
      <c r="K165" s="19" t="s">
        <v>22</v>
      </c>
      <c r="L165" s="10" t="s">
        <v>37</v>
      </c>
      <c r="M165" s="11">
        <f t="shared" ref="M165:M182" si="9">D165+7</f>
        <v>45785</v>
      </c>
      <c r="N165" s="11">
        <f t="shared" ref="N165:N166" si="10">M165</f>
        <v>45785</v>
      </c>
      <c r="O165" s="10" t="s">
        <v>27</v>
      </c>
      <c r="P165" s="10" t="s">
        <v>28</v>
      </c>
      <c r="Q165" s="10"/>
      <c r="R165" s="14">
        <v>2</v>
      </c>
    </row>
    <row r="166" spans="1:19" x14ac:dyDescent="0.25">
      <c r="A166" s="25">
        <v>2</v>
      </c>
      <c r="B166" s="9" t="s">
        <v>569</v>
      </c>
      <c r="C166" s="10" t="s">
        <v>19</v>
      </c>
      <c r="D166" s="11">
        <v>45778</v>
      </c>
      <c r="E166" s="10" t="s">
        <v>570</v>
      </c>
      <c r="F166" s="10" t="s">
        <v>42</v>
      </c>
      <c r="G166" s="10" t="s">
        <v>22</v>
      </c>
      <c r="H166" s="10"/>
      <c r="I166" s="10" t="s">
        <v>23</v>
      </c>
      <c r="J166" s="12" t="s">
        <v>571</v>
      </c>
      <c r="K166" s="19" t="s">
        <v>22</v>
      </c>
      <c r="L166" s="10" t="s">
        <v>26</v>
      </c>
      <c r="M166" s="11">
        <f t="shared" si="9"/>
        <v>45785</v>
      </c>
      <c r="N166" s="11">
        <f t="shared" si="10"/>
        <v>45785</v>
      </c>
      <c r="O166" s="10" t="s">
        <v>27</v>
      </c>
      <c r="P166" s="10" t="s">
        <v>58</v>
      </c>
      <c r="Q166" s="10"/>
      <c r="R166" s="14">
        <v>2</v>
      </c>
    </row>
    <row r="167" spans="1:19" x14ac:dyDescent="0.25">
      <c r="A167" s="25">
        <v>3</v>
      </c>
      <c r="B167" s="9" t="s">
        <v>572</v>
      </c>
      <c r="C167" s="10" t="s">
        <v>19</v>
      </c>
      <c r="D167" s="11">
        <v>45778</v>
      </c>
      <c r="E167" s="10" t="s">
        <v>167</v>
      </c>
      <c r="F167" s="10" t="s">
        <v>42</v>
      </c>
      <c r="G167" s="10">
        <v>24162</v>
      </c>
      <c r="H167" s="10"/>
      <c r="I167" s="10" t="s">
        <v>23</v>
      </c>
      <c r="J167" s="12" t="s">
        <v>573</v>
      </c>
      <c r="K167" s="19" t="s">
        <v>22</v>
      </c>
      <c r="L167" s="10" t="s">
        <v>26</v>
      </c>
      <c r="M167" s="11">
        <f t="shared" si="9"/>
        <v>45785</v>
      </c>
      <c r="N167" s="11">
        <f>M167-1</f>
        <v>45784</v>
      </c>
      <c r="O167" s="10" t="s">
        <v>27</v>
      </c>
      <c r="P167" s="10" t="s">
        <v>65</v>
      </c>
      <c r="Q167" s="10"/>
      <c r="R167" s="14">
        <v>2</v>
      </c>
    </row>
    <row r="168" spans="1:19" x14ac:dyDescent="0.25">
      <c r="A168" s="25">
        <v>4</v>
      </c>
      <c r="B168" s="9" t="s">
        <v>574</v>
      </c>
      <c r="C168" s="10" t="s">
        <v>19</v>
      </c>
      <c r="D168" s="11">
        <v>45783</v>
      </c>
      <c r="E168" s="10" t="s">
        <v>575</v>
      </c>
      <c r="F168" s="10" t="s">
        <v>200</v>
      </c>
      <c r="G168" s="10" t="s">
        <v>22</v>
      </c>
      <c r="H168" s="10" t="s">
        <v>576</v>
      </c>
      <c r="I168" s="10" t="s">
        <v>23</v>
      </c>
      <c r="J168" s="12" t="s">
        <v>577</v>
      </c>
      <c r="K168" s="19" t="s">
        <v>22</v>
      </c>
      <c r="L168" s="10" t="s">
        <v>95</v>
      </c>
      <c r="M168" s="11">
        <f>D168+1</f>
        <v>45784</v>
      </c>
      <c r="N168" s="11">
        <f>M168</f>
        <v>45784</v>
      </c>
      <c r="O168" s="10" t="s">
        <v>27</v>
      </c>
      <c r="P168" s="10" t="s">
        <v>58</v>
      </c>
      <c r="Q168" s="10"/>
      <c r="R168" s="14">
        <v>1</v>
      </c>
    </row>
    <row r="169" spans="1:19" ht="14.45" customHeight="1" x14ac:dyDescent="0.25">
      <c r="A169" s="25">
        <v>5</v>
      </c>
      <c r="B169" s="9" t="s">
        <v>578</v>
      </c>
      <c r="C169" s="10" t="s">
        <v>49</v>
      </c>
      <c r="D169" s="11">
        <v>45783</v>
      </c>
      <c r="E169" s="10" t="s">
        <v>211</v>
      </c>
      <c r="F169" s="10" t="s">
        <v>21</v>
      </c>
      <c r="G169" s="10">
        <v>24115</v>
      </c>
      <c r="H169" s="10" t="s">
        <v>432</v>
      </c>
      <c r="I169" s="10" t="s">
        <v>56</v>
      </c>
      <c r="J169" s="22" t="s">
        <v>295</v>
      </c>
      <c r="K169" s="19" t="s">
        <v>22</v>
      </c>
      <c r="L169" s="10" t="s">
        <v>108</v>
      </c>
      <c r="M169" s="18">
        <v>45784</v>
      </c>
      <c r="N169" s="18">
        <v>45784</v>
      </c>
      <c r="O169" s="10" t="s">
        <v>39</v>
      </c>
      <c r="P169" s="10" t="s">
        <v>65</v>
      </c>
      <c r="Q169" s="23" t="s">
        <v>297</v>
      </c>
      <c r="R169" s="14">
        <v>4</v>
      </c>
    </row>
    <row r="170" spans="1:19" x14ac:dyDescent="0.25">
      <c r="A170" s="25">
        <v>6</v>
      </c>
      <c r="B170" s="9" t="s">
        <v>579</v>
      </c>
      <c r="C170" s="10" t="s">
        <v>19</v>
      </c>
      <c r="D170" s="11">
        <v>45783</v>
      </c>
      <c r="E170" s="10" t="s">
        <v>454</v>
      </c>
      <c r="F170" s="10" t="s">
        <v>455</v>
      </c>
      <c r="G170" s="10" t="s">
        <v>22</v>
      </c>
      <c r="H170" s="10"/>
      <c r="I170" s="10" t="s">
        <v>23</v>
      </c>
      <c r="J170" s="12" t="s">
        <v>580</v>
      </c>
      <c r="K170" s="19" t="s">
        <v>22</v>
      </c>
      <c r="L170" s="10" t="s">
        <v>79</v>
      </c>
      <c r="M170" s="11">
        <f>D170+14</f>
        <v>45797</v>
      </c>
      <c r="N170" s="11">
        <f>M170</f>
        <v>45797</v>
      </c>
      <c r="O170" s="10" t="s">
        <v>27</v>
      </c>
      <c r="P170" s="10" t="s">
        <v>65</v>
      </c>
      <c r="Q170" s="10"/>
      <c r="R170" s="14">
        <v>1</v>
      </c>
    </row>
    <row r="171" spans="1:19" x14ac:dyDescent="0.25">
      <c r="A171" s="25">
        <v>7</v>
      </c>
      <c r="B171" s="9" t="s">
        <v>581</v>
      </c>
      <c r="C171" s="10" t="s">
        <v>35</v>
      </c>
      <c r="D171" s="11">
        <v>45785</v>
      </c>
      <c r="E171" s="10" t="s">
        <v>582</v>
      </c>
      <c r="F171" s="10" t="s">
        <v>21</v>
      </c>
      <c r="G171" s="10" t="s">
        <v>22</v>
      </c>
      <c r="H171" s="10" t="s">
        <v>583</v>
      </c>
      <c r="I171" s="10" t="s">
        <v>56</v>
      </c>
      <c r="J171" s="12" t="s">
        <v>584</v>
      </c>
      <c r="K171" s="19" t="s">
        <v>22</v>
      </c>
      <c r="L171" s="10" t="s">
        <v>73</v>
      </c>
      <c r="M171" s="11">
        <v>45785</v>
      </c>
      <c r="N171" s="18">
        <v>45874</v>
      </c>
      <c r="O171" s="10" t="s">
        <v>27</v>
      </c>
      <c r="P171" s="10" t="s">
        <v>58</v>
      </c>
      <c r="Q171" s="10"/>
      <c r="R171" s="14">
        <v>3</v>
      </c>
    </row>
    <row r="172" spans="1:19" x14ac:dyDescent="0.25">
      <c r="A172" s="25">
        <v>8</v>
      </c>
      <c r="B172" s="9" t="s">
        <v>585</v>
      </c>
      <c r="C172" s="10" t="s">
        <v>19</v>
      </c>
      <c r="D172" s="11">
        <v>45786</v>
      </c>
      <c r="E172" s="10" t="s">
        <v>379</v>
      </c>
      <c r="F172" s="10" t="s">
        <v>42</v>
      </c>
      <c r="G172" s="10" t="s">
        <v>22</v>
      </c>
      <c r="H172" s="10" t="s">
        <v>323</v>
      </c>
      <c r="I172" s="10" t="s">
        <v>23</v>
      </c>
      <c r="J172" s="12" t="s">
        <v>586</v>
      </c>
      <c r="K172" s="19" t="s">
        <v>22</v>
      </c>
      <c r="L172" s="10" t="s">
        <v>95</v>
      </c>
      <c r="M172" s="11">
        <f>D172+3</f>
        <v>45789</v>
      </c>
      <c r="N172" s="11">
        <f>M172</f>
        <v>45789</v>
      </c>
      <c r="O172" s="10" t="s">
        <v>27</v>
      </c>
      <c r="P172" s="10" t="s">
        <v>28</v>
      </c>
      <c r="Q172" s="10"/>
      <c r="R172" s="14">
        <v>2</v>
      </c>
    </row>
    <row r="173" spans="1:19" x14ac:dyDescent="0.25">
      <c r="A173" s="25">
        <v>9</v>
      </c>
      <c r="B173" s="9" t="s">
        <v>587</v>
      </c>
      <c r="C173" s="10" t="s">
        <v>19</v>
      </c>
      <c r="D173" s="11">
        <v>45786</v>
      </c>
      <c r="E173" s="10" t="s">
        <v>588</v>
      </c>
      <c r="F173" s="10" t="s">
        <v>21</v>
      </c>
      <c r="G173" s="10">
        <v>24109</v>
      </c>
      <c r="H173" s="10" t="s">
        <v>254</v>
      </c>
      <c r="I173" s="10" t="s">
        <v>23</v>
      </c>
      <c r="J173" s="12" t="s">
        <v>589</v>
      </c>
      <c r="K173" s="19" t="s">
        <v>22</v>
      </c>
      <c r="L173" s="10" t="s">
        <v>89</v>
      </c>
      <c r="M173" s="11">
        <f>D173+1</f>
        <v>45787</v>
      </c>
      <c r="N173" s="11">
        <f>M173</f>
        <v>45787</v>
      </c>
      <c r="O173" s="10" t="s">
        <v>27</v>
      </c>
      <c r="P173" s="10" t="s">
        <v>65</v>
      </c>
      <c r="Q173" s="10"/>
      <c r="R173" s="14">
        <v>2</v>
      </c>
    </row>
    <row r="174" spans="1:19" x14ac:dyDescent="0.25">
      <c r="A174" s="25">
        <v>10</v>
      </c>
      <c r="B174" s="9" t="s">
        <v>590</v>
      </c>
      <c r="C174" s="10" t="s">
        <v>19</v>
      </c>
      <c r="D174" s="11">
        <v>45789</v>
      </c>
      <c r="E174" s="10" t="s">
        <v>191</v>
      </c>
      <c r="F174" s="10" t="s">
        <v>86</v>
      </c>
      <c r="G174" s="10" t="s">
        <v>22</v>
      </c>
      <c r="H174" s="10" t="s">
        <v>413</v>
      </c>
      <c r="I174" s="10" t="s">
        <v>23</v>
      </c>
      <c r="J174" s="12" t="s">
        <v>414</v>
      </c>
      <c r="K174" s="19" t="s">
        <v>22</v>
      </c>
      <c r="L174" s="10" t="s">
        <v>26</v>
      </c>
      <c r="M174" s="11">
        <f t="shared" si="9"/>
        <v>45796</v>
      </c>
      <c r="N174" s="10"/>
      <c r="O174" s="10" t="s">
        <v>59</v>
      </c>
      <c r="P174" s="10" t="s">
        <v>45</v>
      </c>
      <c r="Q174" s="10"/>
      <c r="R174" s="14">
        <v>2</v>
      </c>
    </row>
    <row r="175" spans="1:19" x14ac:dyDescent="0.25">
      <c r="A175" s="25">
        <v>11</v>
      </c>
      <c r="B175" s="9" t="s">
        <v>591</v>
      </c>
      <c r="C175" s="10" t="s">
        <v>19</v>
      </c>
      <c r="D175" s="11">
        <v>45789</v>
      </c>
      <c r="E175" s="10" t="s">
        <v>454</v>
      </c>
      <c r="F175" s="10" t="s">
        <v>455</v>
      </c>
      <c r="G175" s="10" t="s">
        <v>22</v>
      </c>
      <c r="H175" s="10"/>
      <c r="I175" s="10" t="s">
        <v>23</v>
      </c>
      <c r="J175" s="12" t="s">
        <v>592</v>
      </c>
      <c r="K175" s="19" t="s">
        <v>22</v>
      </c>
      <c r="L175" s="10" t="s">
        <v>26</v>
      </c>
      <c r="M175" s="11">
        <f>D175+7</f>
        <v>45796</v>
      </c>
      <c r="N175" s="11">
        <f>M175+2</f>
        <v>45798</v>
      </c>
      <c r="O175" s="10" t="s">
        <v>39</v>
      </c>
      <c r="P175" s="10" t="s">
        <v>65</v>
      </c>
      <c r="Q175" s="10"/>
      <c r="R175" s="14">
        <v>4</v>
      </c>
    </row>
    <row r="176" spans="1:19" x14ac:dyDescent="0.25">
      <c r="A176" s="25">
        <v>12</v>
      </c>
      <c r="B176" s="9" t="s">
        <v>593</v>
      </c>
      <c r="C176" s="10" t="s">
        <v>35</v>
      </c>
      <c r="D176" s="11">
        <v>45789</v>
      </c>
      <c r="E176" s="10" t="s">
        <v>220</v>
      </c>
      <c r="F176" s="10" t="s">
        <v>21</v>
      </c>
      <c r="G176" s="10" t="s">
        <v>22</v>
      </c>
      <c r="H176" s="10" t="s">
        <v>258</v>
      </c>
      <c r="I176" s="10" t="s">
        <v>23</v>
      </c>
      <c r="J176" s="12" t="s">
        <v>594</v>
      </c>
      <c r="K176" s="19" t="s">
        <v>22</v>
      </c>
      <c r="L176" s="10" t="s">
        <v>73</v>
      </c>
      <c r="M176" s="11">
        <v>45789</v>
      </c>
      <c r="N176" s="11">
        <v>45789</v>
      </c>
      <c r="O176" s="10" t="s">
        <v>27</v>
      </c>
      <c r="P176" s="10" t="s">
        <v>65</v>
      </c>
      <c r="Q176" s="10"/>
      <c r="R176" s="14">
        <v>4</v>
      </c>
    </row>
    <row r="177" spans="1:19" x14ac:dyDescent="0.25">
      <c r="A177" s="25">
        <v>13</v>
      </c>
      <c r="B177" s="9" t="s">
        <v>595</v>
      </c>
      <c r="C177" s="10" t="s">
        <v>19</v>
      </c>
      <c r="D177" s="11">
        <v>45789</v>
      </c>
      <c r="E177" s="10" t="s">
        <v>359</v>
      </c>
      <c r="F177" s="10" t="s">
        <v>42</v>
      </c>
      <c r="G177" s="10" t="s">
        <v>22</v>
      </c>
      <c r="H177" s="10" t="s">
        <v>360</v>
      </c>
      <c r="I177" s="10" t="s">
        <v>23</v>
      </c>
      <c r="J177" s="12" t="s">
        <v>361</v>
      </c>
      <c r="K177" s="19" t="s">
        <v>22</v>
      </c>
      <c r="L177" s="10" t="s">
        <v>117</v>
      </c>
      <c r="M177" s="11">
        <f t="shared" si="9"/>
        <v>45796</v>
      </c>
      <c r="N177" s="11">
        <f>M177+17</f>
        <v>45813</v>
      </c>
      <c r="O177" s="10" t="s">
        <v>52</v>
      </c>
      <c r="P177" s="10" t="s">
        <v>28</v>
      </c>
      <c r="Q177" s="10"/>
      <c r="R177" s="14">
        <v>12</v>
      </c>
    </row>
    <row r="178" spans="1:19" x14ac:dyDescent="0.25">
      <c r="A178" s="25">
        <v>14</v>
      </c>
      <c r="B178" s="9" t="s">
        <v>596</v>
      </c>
      <c r="C178" s="10" t="s">
        <v>19</v>
      </c>
      <c r="D178" s="11">
        <v>45790</v>
      </c>
      <c r="E178" s="10" t="s">
        <v>597</v>
      </c>
      <c r="F178" s="10"/>
      <c r="G178" s="10" t="s">
        <v>22</v>
      </c>
      <c r="H178" s="10" t="s">
        <v>598</v>
      </c>
      <c r="I178" s="10" t="s">
        <v>23</v>
      </c>
      <c r="J178" s="12" t="s">
        <v>599</v>
      </c>
      <c r="K178" s="19" t="s">
        <v>22</v>
      </c>
      <c r="L178" s="10" t="s">
        <v>26</v>
      </c>
      <c r="M178" s="11">
        <f t="shared" si="9"/>
        <v>45797</v>
      </c>
      <c r="N178" s="11">
        <f>M178</f>
        <v>45797</v>
      </c>
      <c r="O178" s="10" t="s">
        <v>27</v>
      </c>
      <c r="P178" s="10" t="s">
        <v>38</v>
      </c>
      <c r="Q178" s="10"/>
      <c r="R178" s="14">
        <v>1</v>
      </c>
    </row>
    <row r="179" spans="1:19" x14ac:dyDescent="0.25">
      <c r="A179" s="25">
        <v>15</v>
      </c>
      <c r="B179" s="9" t="s">
        <v>600</v>
      </c>
      <c r="C179" s="10" t="s">
        <v>35</v>
      </c>
      <c r="D179" s="11">
        <v>45790</v>
      </c>
      <c r="E179" s="10" t="s">
        <v>363</v>
      </c>
      <c r="F179" s="10" t="s">
        <v>21</v>
      </c>
      <c r="G179" s="10" t="s">
        <v>22</v>
      </c>
      <c r="H179" s="10" t="s">
        <v>469</v>
      </c>
      <c r="I179" s="10" t="s">
        <v>23</v>
      </c>
      <c r="J179" s="27" t="s">
        <v>601</v>
      </c>
      <c r="K179" s="19" t="s">
        <v>22</v>
      </c>
      <c r="L179" s="10" t="s">
        <v>83</v>
      </c>
      <c r="M179" s="11">
        <f t="shared" si="9"/>
        <v>45797</v>
      </c>
      <c r="N179" s="11">
        <f t="shared" ref="N179:N223" si="11">M179</f>
        <v>45797</v>
      </c>
      <c r="O179" s="10" t="s">
        <v>27</v>
      </c>
      <c r="P179" s="10" t="s">
        <v>45</v>
      </c>
      <c r="Q179" s="10"/>
      <c r="R179" s="14">
        <v>2</v>
      </c>
    </row>
    <row r="180" spans="1:19" x14ac:dyDescent="0.25">
      <c r="A180" s="25">
        <v>16</v>
      </c>
      <c r="B180" s="9" t="s">
        <v>602</v>
      </c>
      <c r="C180" s="10" t="s">
        <v>35</v>
      </c>
      <c r="D180" s="11">
        <v>45790</v>
      </c>
      <c r="E180" s="10" t="s">
        <v>363</v>
      </c>
      <c r="F180" s="10" t="s">
        <v>21</v>
      </c>
      <c r="G180" s="10">
        <v>24126</v>
      </c>
      <c r="H180" s="10" t="s">
        <v>353</v>
      </c>
      <c r="I180" s="10" t="s">
        <v>23</v>
      </c>
      <c r="J180" s="12" t="s">
        <v>603</v>
      </c>
      <c r="K180" s="19" t="s">
        <v>22</v>
      </c>
      <c r="L180" s="10" t="s">
        <v>83</v>
      </c>
      <c r="M180" s="11">
        <v>45790</v>
      </c>
      <c r="N180" s="11">
        <f t="shared" si="11"/>
        <v>45790</v>
      </c>
      <c r="O180" s="10" t="s">
        <v>27</v>
      </c>
      <c r="P180" s="10" t="s">
        <v>65</v>
      </c>
      <c r="Q180" s="10"/>
      <c r="R180" s="14">
        <v>1</v>
      </c>
    </row>
    <row r="181" spans="1:19" x14ac:dyDescent="0.25">
      <c r="A181" s="25">
        <v>17</v>
      </c>
      <c r="B181" s="9" t="s">
        <v>604</v>
      </c>
      <c r="C181" s="10" t="s">
        <v>49</v>
      </c>
      <c r="D181" s="11">
        <v>45799</v>
      </c>
      <c r="E181" s="10" t="s">
        <v>211</v>
      </c>
      <c r="F181" s="10" t="s">
        <v>21</v>
      </c>
      <c r="G181" s="10">
        <v>23779</v>
      </c>
      <c r="H181" s="10"/>
      <c r="I181" s="10" t="s">
        <v>23</v>
      </c>
      <c r="J181" s="12" t="s">
        <v>605</v>
      </c>
      <c r="K181" s="19" t="s">
        <v>22</v>
      </c>
      <c r="L181" s="10" t="s">
        <v>51</v>
      </c>
      <c r="M181" s="11">
        <f>D181+21</f>
        <v>45820</v>
      </c>
      <c r="N181" s="11">
        <f t="shared" si="11"/>
        <v>45820</v>
      </c>
      <c r="O181" s="10" t="s">
        <v>27</v>
      </c>
      <c r="P181" s="10" t="s">
        <v>58</v>
      </c>
      <c r="Q181" s="10"/>
      <c r="R181" s="14">
        <v>1</v>
      </c>
    </row>
    <row r="182" spans="1:19" x14ac:dyDescent="0.25">
      <c r="A182" s="25">
        <v>18</v>
      </c>
      <c r="B182" s="9" t="s">
        <v>606</v>
      </c>
      <c r="C182" s="10" t="s">
        <v>19</v>
      </c>
      <c r="D182" s="11">
        <v>45799</v>
      </c>
      <c r="E182" s="10" t="s">
        <v>273</v>
      </c>
      <c r="F182" s="10" t="s">
        <v>21</v>
      </c>
      <c r="G182" s="10">
        <v>24047</v>
      </c>
      <c r="H182" s="10"/>
      <c r="I182" s="10" t="s">
        <v>23</v>
      </c>
      <c r="J182" s="12" t="s">
        <v>607</v>
      </c>
      <c r="K182" s="19" t="s">
        <v>22</v>
      </c>
      <c r="L182" s="10" t="s">
        <v>123</v>
      </c>
      <c r="M182" s="11">
        <f t="shared" si="9"/>
        <v>45806</v>
      </c>
      <c r="N182" s="11">
        <f t="shared" si="11"/>
        <v>45806</v>
      </c>
      <c r="O182" s="10" t="s">
        <v>27</v>
      </c>
      <c r="P182" s="10" t="s">
        <v>38</v>
      </c>
      <c r="Q182" s="10"/>
      <c r="R182" s="14">
        <v>2</v>
      </c>
    </row>
    <row r="183" spans="1:19" x14ac:dyDescent="0.25">
      <c r="A183" s="25">
        <v>19</v>
      </c>
      <c r="B183" s="9" t="s">
        <v>608</v>
      </c>
      <c r="C183" s="10" t="s">
        <v>35</v>
      </c>
      <c r="D183" s="11">
        <v>45804</v>
      </c>
      <c r="E183" s="10" t="s">
        <v>220</v>
      </c>
      <c r="F183" s="10" t="s">
        <v>21</v>
      </c>
      <c r="G183" s="10" t="s">
        <v>22</v>
      </c>
      <c r="H183" s="10" t="s">
        <v>609</v>
      </c>
      <c r="I183" s="10" t="s">
        <v>23</v>
      </c>
      <c r="J183" s="12" t="s">
        <v>610</v>
      </c>
      <c r="K183" s="19" t="s">
        <v>22</v>
      </c>
      <c r="L183" s="10" t="s">
        <v>83</v>
      </c>
      <c r="M183" s="11">
        <f>D183+2</f>
        <v>45806</v>
      </c>
      <c r="N183" s="11">
        <f t="shared" si="11"/>
        <v>45806</v>
      </c>
      <c r="O183" s="10" t="s">
        <v>27</v>
      </c>
      <c r="P183" s="10" t="s">
        <v>45</v>
      </c>
      <c r="Q183" s="10"/>
      <c r="R183" s="14">
        <v>1</v>
      </c>
    </row>
    <row r="184" spans="1:19" x14ac:dyDescent="0.25">
      <c r="A184" s="25">
        <v>20</v>
      </c>
      <c r="B184" s="9" t="s">
        <v>611</v>
      </c>
      <c r="C184" s="10" t="s">
        <v>35</v>
      </c>
      <c r="D184" s="11">
        <v>45804</v>
      </c>
      <c r="E184" s="10" t="s">
        <v>220</v>
      </c>
      <c r="F184" s="10" t="s">
        <v>21</v>
      </c>
      <c r="G184" s="10" t="s">
        <v>22</v>
      </c>
      <c r="H184" s="10" t="s">
        <v>609</v>
      </c>
      <c r="I184" s="10" t="s">
        <v>23</v>
      </c>
      <c r="J184" s="12" t="s">
        <v>612</v>
      </c>
      <c r="K184" s="19" t="s">
        <v>22</v>
      </c>
      <c r="L184" s="10" t="s">
        <v>83</v>
      </c>
      <c r="M184" s="11">
        <f t="shared" ref="M184:M185" si="12">D184+2</f>
        <v>45806</v>
      </c>
      <c r="N184" s="11">
        <f t="shared" si="11"/>
        <v>45806</v>
      </c>
      <c r="O184" s="10" t="s">
        <v>27</v>
      </c>
      <c r="P184" s="10" t="s">
        <v>45</v>
      </c>
      <c r="Q184" s="10"/>
      <c r="R184" s="14">
        <v>1</v>
      </c>
    </row>
    <row r="185" spans="1:19" x14ac:dyDescent="0.25">
      <c r="A185" s="25">
        <v>21</v>
      </c>
      <c r="B185" s="9" t="s">
        <v>613</v>
      </c>
      <c r="C185" s="10" t="s">
        <v>35</v>
      </c>
      <c r="D185" s="11">
        <v>45804</v>
      </c>
      <c r="E185" s="10" t="s">
        <v>220</v>
      </c>
      <c r="F185" s="10" t="s">
        <v>21</v>
      </c>
      <c r="G185" s="10" t="s">
        <v>22</v>
      </c>
      <c r="H185" s="10" t="s">
        <v>609</v>
      </c>
      <c r="I185" s="10" t="s">
        <v>23</v>
      </c>
      <c r="J185" s="12" t="s">
        <v>614</v>
      </c>
      <c r="K185" s="19" t="s">
        <v>22</v>
      </c>
      <c r="L185" s="10" t="s">
        <v>83</v>
      </c>
      <c r="M185" s="11">
        <f t="shared" si="12"/>
        <v>45806</v>
      </c>
      <c r="N185" s="11">
        <f t="shared" si="11"/>
        <v>45806</v>
      </c>
      <c r="O185" s="10" t="s">
        <v>27</v>
      </c>
      <c r="P185" s="10" t="s">
        <v>45</v>
      </c>
      <c r="Q185" s="10"/>
      <c r="R185" s="14">
        <v>1</v>
      </c>
    </row>
    <row r="186" spans="1:19" x14ac:dyDescent="0.25">
      <c r="A186" s="25">
        <v>22</v>
      </c>
      <c r="B186" s="9" t="s">
        <v>615</v>
      </c>
      <c r="C186" s="10" t="s">
        <v>19</v>
      </c>
      <c r="D186" s="11">
        <v>45804</v>
      </c>
      <c r="E186" s="11" t="s">
        <v>616</v>
      </c>
      <c r="F186" s="10" t="s">
        <v>455</v>
      </c>
      <c r="G186" s="10" t="s">
        <v>22</v>
      </c>
      <c r="H186" s="10"/>
      <c r="I186" s="10" t="s">
        <v>23</v>
      </c>
      <c r="J186" s="12" t="s">
        <v>617</v>
      </c>
      <c r="K186" s="19" t="s">
        <v>22</v>
      </c>
      <c r="L186" s="10" t="s">
        <v>26</v>
      </c>
      <c r="M186" s="11">
        <f>D186+10</f>
        <v>45814</v>
      </c>
      <c r="N186" s="11">
        <f t="shared" si="11"/>
        <v>45814</v>
      </c>
      <c r="O186" s="10" t="s">
        <v>27</v>
      </c>
      <c r="P186" s="10" t="s">
        <v>45</v>
      </c>
      <c r="Q186" s="10"/>
      <c r="R186" s="14">
        <v>4</v>
      </c>
    </row>
    <row r="187" spans="1:19" x14ac:dyDescent="0.25">
      <c r="A187" s="25">
        <v>23</v>
      </c>
      <c r="B187" s="9" t="s">
        <v>618</v>
      </c>
      <c r="C187" s="10" t="s">
        <v>19</v>
      </c>
      <c r="D187" s="11">
        <v>45804</v>
      </c>
      <c r="E187" s="11" t="s">
        <v>616</v>
      </c>
      <c r="F187" s="10" t="s">
        <v>455</v>
      </c>
      <c r="G187" s="10" t="s">
        <v>22</v>
      </c>
      <c r="H187" s="10" t="s">
        <v>619</v>
      </c>
      <c r="I187" s="10" t="s">
        <v>23</v>
      </c>
      <c r="J187" s="12" t="s">
        <v>620</v>
      </c>
      <c r="K187" s="19" t="s">
        <v>22</v>
      </c>
      <c r="L187" s="10" t="s">
        <v>26</v>
      </c>
      <c r="M187" s="11">
        <f>D187+14</f>
        <v>45818</v>
      </c>
      <c r="N187" s="11">
        <f t="shared" si="11"/>
        <v>45818</v>
      </c>
      <c r="O187" s="10" t="s">
        <v>27</v>
      </c>
      <c r="P187" s="10" t="s">
        <v>38</v>
      </c>
      <c r="Q187" s="10"/>
      <c r="R187" s="14">
        <v>1</v>
      </c>
    </row>
    <row r="188" spans="1:19" x14ac:dyDescent="0.25">
      <c r="A188" s="25">
        <v>24</v>
      </c>
      <c r="B188" s="9" t="s">
        <v>621</v>
      </c>
      <c r="C188" s="10" t="s">
        <v>35</v>
      </c>
      <c r="D188" s="11">
        <v>45804</v>
      </c>
      <c r="E188" s="10" t="s">
        <v>588</v>
      </c>
      <c r="F188" s="10" t="s">
        <v>21</v>
      </c>
      <c r="G188" s="10" t="s">
        <v>22</v>
      </c>
      <c r="H188" s="10"/>
      <c r="I188" s="10" t="s">
        <v>23</v>
      </c>
      <c r="J188" s="12" t="s">
        <v>622</v>
      </c>
      <c r="K188" s="19" t="s">
        <v>22</v>
      </c>
      <c r="L188" s="10" t="s">
        <v>83</v>
      </c>
      <c r="M188" s="11">
        <f>D188+7</f>
        <v>45811</v>
      </c>
      <c r="N188" s="11">
        <f t="shared" si="11"/>
        <v>45811</v>
      </c>
      <c r="O188" s="10" t="s">
        <v>27</v>
      </c>
      <c r="P188" s="10" t="s">
        <v>38</v>
      </c>
      <c r="Q188" s="10"/>
      <c r="R188" s="14">
        <v>6</v>
      </c>
    </row>
    <row r="189" spans="1:19" x14ac:dyDescent="0.25">
      <c r="A189" s="25">
        <v>25</v>
      </c>
      <c r="B189" s="9" t="s">
        <v>623</v>
      </c>
      <c r="C189" s="10" t="s">
        <v>35</v>
      </c>
      <c r="D189" s="11">
        <v>45805</v>
      </c>
      <c r="E189" s="10" t="s">
        <v>588</v>
      </c>
      <c r="F189" s="10" t="s">
        <v>21</v>
      </c>
      <c r="G189" s="10" t="s">
        <v>22</v>
      </c>
      <c r="H189" s="10"/>
      <c r="I189" s="10" t="s">
        <v>23</v>
      </c>
      <c r="J189" s="12" t="s">
        <v>624</v>
      </c>
      <c r="K189" s="19" t="s">
        <v>22</v>
      </c>
      <c r="L189" s="10" t="s">
        <v>92</v>
      </c>
      <c r="M189" s="11">
        <f t="shared" ref="M189:M190" si="13">D189+7</f>
        <v>45812</v>
      </c>
      <c r="N189" s="11">
        <f t="shared" si="11"/>
        <v>45812</v>
      </c>
      <c r="O189" s="10" t="s">
        <v>27</v>
      </c>
      <c r="P189" s="10" t="s">
        <v>65</v>
      </c>
      <c r="Q189" s="10"/>
      <c r="R189" s="14">
        <v>1</v>
      </c>
    </row>
    <row r="190" spans="1:19" x14ac:dyDescent="0.25">
      <c r="A190" s="25">
        <v>26</v>
      </c>
      <c r="B190" s="9" t="s">
        <v>625</v>
      </c>
      <c r="C190" s="10" t="s">
        <v>19</v>
      </c>
      <c r="D190" s="11">
        <v>45805</v>
      </c>
      <c r="E190" s="10" t="s">
        <v>626</v>
      </c>
      <c r="F190" s="10" t="s">
        <v>42</v>
      </c>
      <c r="G190" s="10" t="s">
        <v>22</v>
      </c>
      <c r="H190" s="10" t="s">
        <v>627</v>
      </c>
      <c r="I190" s="10" t="s">
        <v>68</v>
      </c>
      <c r="J190" s="12" t="s">
        <v>628</v>
      </c>
      <c r="K190" s="19" t="s">
        <v>22</v>
      </c>
      <c r="L190" s="10" t="s">
        <v>26</v>
      </c>
      <c r="M190" s="11">
        <f t="shared" si="13"/>
        <v>45812</v>
      </c>
      <c r="N190" s="11">
        <f t="shared" si="11"/>
        <v>45812</v>
      </c>
      <c r="O190" s="10" t="s">
        <v>27</v>
      </c>
      <c r="P190" s="10" t="s">
        <v>58</v>
      </c>
      <c r="Q190" s="10" t="s">
        <v>629</v>
      </c>
      <c r="R190" s="14">
        <v>2</v>
      </c>
      <c r="S190" s="24">
        <f>SUM(R165:R190)</f>
        <v>65</v>
      </c>
    </row>
    <row r="191" spans="1:19" x14ac:dyDescent="0.25">
      <c r="A191" s="21">
        <v>1</v>
      </c>
      <c r="B191" s="9" t="s">
        <v>630</v>
      </c>
      <c r="C191" s="10" t="s">
        <v>35</v>
      </c>
      <c r="D191" s="11">
        <v>45811</v>
      </c>
      <c r="E191" s="10" t="s">
        <v>159</v>
      </c>
      <c r="F191" s="10" t="s">
        <v>21</v>
      </c>
      <c r="G191" s="10" t="s">
        <v>22</v>
      </c>
      <c r="H191" s="10" t="s">
        <v>631</v>
      </c>
      <c r="I191" s="10" t="s">
        <v>56</v>
      </c>
      <c r="J191" s="12" t="s">
        <v>632</v>
      </c>
      <c r="K191" s="19" t="s">
        <v>22</v>
      </c>
      <c r="L191" s="10" t="s">
        <v>99</v>
      </c>
      <c r="M191" s="11">
        <f>D191+10</f>
        <v>45821</v>
      </c>
      <c r="N191" s="11">
        <f t="shared" si="11"/>
        <v>45821</v>
      </c>
      <c r="O191" s="10" t="s">
        <v>27</v>
      </c>
      <c r="P191" s="10" t="s">
        <v>28</v>
      </c>
      <c r="Q191" s="10"/>
      <c r="R191" s="14">
        <v>10</v>
      </c>
    </row>
    <row r="192" spans="1:19" x14ac:dyDescent="0.25">
      <c r="A192" s="21">
        <v>2</v>
      </c>
      <c r="B192" s="9" t="s">
        <v>633</v>
      </c>
      <c r="C192" s="10" t="s">
        <v>35</v>
      </c>
      <c r="D192" s="11">
        <v>45811</v>
      </c>
      <c r="E192" s="10" t="s">
        <v>245</v>
      </c>
      <c r="F192" s="10" t="s">
        <v>21</v>
      </c>
      <c r="G192" s="10" t="s">
        <v>22</v>
      </c>
      <c r="H192" s="10" t="s">
        <v>634</v>
      </c>
      <c r="I192" s="10" t="s">
        <v>56</v>
      </c>
      <c r="J192" s="12" t="s">
        <v>635</v>
      </c>
      <c r="K192" s="19" t="s">
        <v>22</v>
      </c>
      <c r="L192" s="10" t="s">
        <v>83</v>
      </c>
      <c r="M192" s="11">
        <f>D192+7</f>
        <v>45818</v>
      </c>
      <c r="N192" s="11">
        <f t="shared" si="11"/>
        <v>45818</v>
      </c>
      <c r="O192" s="10" t="s">
        <v>27</v>
      </c>
      <c r="P192" s="10" t="s">
        <v>28</v>
      </c>
      <c r="Q192" s="10"/>
      <c r="R192" s="14">
        <v>15</v>
      </c>
    </row>
    <row r="193" spans="1:18" x14ac:dyDescent="0.25">
      <c r="A193" s="21">
        <v>3</v>
      </c>
      <c r="B193" s="9" t="s">
        <v>636</v>
      </c>
      <c r="C193" s="10" t="s">
        <v>35</v>
      </c>
      <c r="D193" s="11">
        <v>45812</v>
      </c>
      <c r="E193" s="10" t="s">
        <v>588</v>
      </c>
      <c r="F193" s="10" t="s">
        <v>21</v>
      </c>
      <c r="G193" s="10" t="s">
        <v>22</v>
      </c>
      <c r="H193" s="10" t="s">
        <v>637</v>
      </c>
      <c r="I193" s="10" t="s">
        <v>23</v>
      </c>
      <c r="J193" s="12" t="s">
        <v>638</v>
      </c>
      <c r="K193" s="19" t="s">
        <v>22</v>
      </c>
      <c r="L193" s="10" t="s">
        <v>89</v>
      </c>
      <c r="M193" s="11">
        <f>D193+8</f>
        <v>45820</v>
      </c>
      <c r="N193" s="11"/>
      <c r="O193" s="10" t="s">
        <v>27</v>
      </c>
      <c r="P193" s="10" t="s">
        <v>31</v>
      </c>
      <c r="Q193" s="10"/>
      <c r="R193" s="14">
        <v>1</v>
      </c>
    </row>
    <row r="194" spans="1:18" x14ac:dyDescent="0.25">
      <c r="A194" s="21">
        <v>4</v>
      </c>
      <c r="B194" s="9" t="s">
        <v>639</v>
      </c>
      <c r="C194" s="10" t="s">
        <v>19</v>
      </c>
      <c r="D194" s="11">
        <v>45813</v>
      </c>
      <c r="E194" s="10" t="s">
        <v>450</v>
      </c>
      <c r="F194" s="10" t="s">
        <v>42</v>
      </c>
      <c r="G194" s="10">
        <v>23398</v>
      </c>
      <c r="H194" s="10" t="s">
        <v>451</v>
      </c>
      <c r="I194" s="10" t="s">
        <v>23</v>
      </c>
      <c r="J194" s="12" t="s">
        <v>640</v>
      </c>
      <c r="K194" s="19" t="s">
        <v>22</v>
      </c>
      <c r="L194" s="10" t="s">
        <v>83</v>
      </c>
      <c r="M194" s="11">
        <f>D194+7</f>
        <v>45820</v>
      </c>
      <c r="N194" s="11">
        <f t="shared" si="11"/>
        <v>45820</v>
      </c>
      <c r="O194" s="10" t="s">
        <v>27</v>
      </c>
      <c r="P194" s="10" t="s">
        <v>28</v>
      </c>
      <c r="Q194" s="10"/>
      <c r="R194" s="14">
        <v>4</v>
      </c>
    </row>
    <row r="195" spans="1:18" x14ac:dyDescent="0.25">
      <c r="A195" s="21">
        <v>5</v>
      </c>
      <c r="B195" s="9" t="s">
        <v>641</v>
      </c>
      <c r="C195" s="10" t="s">
        <v>19</v>
      </c>
      <c r="D195" s="11">
        <v>45814</v>
      </c>
      <c r="E195" s="11" t="s">
        <v>616</v>
      </c>
      <c r="F195" s="10" t="s">
        <v>455</v>
      </c>
      <c r="G195" s="10" t="s">
        <v>22</v>
      </c>
      <c r="H195" s="10" t="s">
        <v>642</v>
      </c>
      <c r="I195" s="10" t="s">
        <v>23</v>
      </c>
      <c r="J195" s="12" t="s">
        <v>643</v>
      </c>
      <c r="K195" s="19" t="s">
        <v>22</v>
      </c>
      <c r="L195" s="10" t="s">
        <v>26</v>
      </c>
      <c r="M195" s="11">
        <f>D195</f>
        <v>45814</v>
      </c>
      <c r="N195" s="11">
        <f t="shared" si="11"/>
        <v>45814</v>
      </c>
      <c r="O195" s="10" t="s">
        <v>27</v>
      </c>
      <c r="P195" s="10" t="s">
        <v>45</v>
      </c>
      <c r="Q195" s="10"/>
      <c r="R195" s="14">
        <v>2</v>
      </c>
    </row>
    <row r="196" spans="1:18" x14ac:dyDescent="0.25">
      <c r="A196" s="21">
        <v>6</v>
      </c>
      <c r="B196" s="9" t="s">
        <v>644</v>
      </c>
      <c r="C196" s="10" t="s">
        <v>19</v>
      </c>
      <c r="D196" s="11">
        <v>45818</v>
      </c>
      <c r="E196" s="10" t="s">
        <v>306</v>
      </c>
      <c r="F196" s="10" t="s">
        <v>21</v>
      </c>
      <c r="G196" s="10" t="s">
        <v>22</v>
      </c>
      <c r="H196" s="10" t="s">
        <v>307</v>
      </c>
      <c r="I196" s="10" t="s">
        <v>23</v>
      </c>
      <c r="J196" s="12" t="s">
        <v>645</v>
      </c>
      <c r="K196" s="19" t="s">
        <v>22</v>
      </c>
      <c r="L196" s="10" t="s">
        <v>26</v>
      </c>
      <c r="M196" s="11">
        <f>D196+3</f>
        <v>45821</v>
      </c>
      <c r="N196" s="11">
        <f t="shared" si="11"/>
        <v>45821</v>
      </c>
      <c r="O196" s="10" t="s">
        <v>27</v>
      </c>
      <c r="P196" s="10" t="s">
        <v>28</v>
      </c>
      <c r="Q196" s="10"/>
      <c r="R196" s="14">
        <v>4</v>
      </c>
    </row>
    <row r="197" spans="1:18" x14ac:dyDescent="0.25">
      <c r="A197" s="21">
        <v>7</v>
      </c>
      <c r="B197" s="9" t="s">
        <v>646</v>
      </c>
      <c r="C197" s="10" t="s">
        <v>19</v>
      </c>
      <c r="D197" s="11">
        <v>45818</v>
      </c>
      <c r="E197" s="10" t="s">
        <v>530</v>
      </c>
      <c r="F197" s="10" t="s">
        <v>42</v>
      </c>
      <c r="G197" s="10" t="s">
        <v>22</v>
      </c>
      <c r="H197" s="10" t="s">
        <v>647</v>
      </c>
      <c r="I197" s="10" t="s">
        <v>23</v>
      </c>
      <c r="J197" s="12" t="s">
        <v>648</v>
      </c>
      <c r="K197" s="19" t="s">
        <v>22</v>
      </c>
      <c r="L197" s="10" t="s">
        <v>26</v>
      </c>
      <c r="M197" s="11">
        <f>D197+3</f>
        <v>45821</v>
      </c>
      <c r="N197" s="11">
        <f t="shared" si="11"/>
        <v>45821</v>
      </c>
      <c r="O197" s="10" t="s">
        <v>27</v>
      </c>
      <c r="P197" s="10" t="s">
        <v>65</v>
      </c>
      <c r="Q197" s="10"/>
      <c r="R197" s="14">
        <v>1</v>
      </c>
    </row>
    <row r="198" spans="1:18" x14ac:dyDescent="0.25">
      <c r="A198" s="21">
        <v>8</v>
      </c>
      <c r="B198" s="9" t="s">
        <v>649</v>
      </c>
      <c r="C198" s="10" t="s">
        <v>49</v>
      </c>
      <c r="D198" s="11">
        <v>45819</v>
      </c>
      <c r="E198" s="10" t="s">
        <v>502</v>
      </c>
      <c r="F198" s="10" t="s">
        <v>21</v>
      </c>
      <c r="G198" s="10">
        <v>23065</v>
      </c>
      <c r="H198" s="10" t="s">
        <v>650</v>
      </c>
      <c r="I198" s="10" t="s">
        <v>50</v>
      </c>
      <c r="J198" s="12" t="s">
        <v>651</v>
      </c>
      <c r="K198" s="19" t="s">
        <v>652</v>
      </c>
      <c r="L198" s="10" t="s">
        <v>89</v>
      </c>
      <c r="M198" s="11">
        <f>D198</f>
        <v>45819</v>
      </c>
      <c r="N198" s="11">
        <f t="shared" si="11"/>
        <v>45819</v>
      </c>
      <c r="O198" s="10" t="s">
        <v>27</v>
      </c>
      <c r="P198" s="10" t="s">
        <v>45</v>
      </c>
      <c r="Q198" s="10"/>
      <c r="R198" s="14">
        <v>1</v>
      </c>
    </row>
    <row r="199" spans="1:18" x14ac:dyDescent="0.25">
      <c r="A199" s="21">
        <v>9</v>
      </c>
      <c r="B199" s="9" t="s">
        <v>653</v>
      </c>
      <c r="C199" s="10" t="s">
        <v>49</v>
      </c>
      <c r="D199" s="11">
        <v>45818</v>
      </c>
      <c r="E199" s="10" t="s">
        <v>211</v>
      </c>
      <c r="F199" s="10" t="s">
        <v>21</v>
      </c>
      <c r="G199" s="10" t="s">
        <v>22</v>
      </c>
      <c r="H199" s="10"/>
      <c r="I199" s="10" t="s">
        <v>50</v>
      </c>
      <c r="J199" s="12" t="s">
        <v>654</v>
      </c>
      <c r="K199" s="19" t="s">
        <v>22</v>
      </c>
      <c r="L199" s="10" t="s">
        <v>99</v>
      </c>
      <c r="M199" s="11">
        <f>D199+2</f>
        <v>45820</v>
      </c>
      <c r="N199" s="11">
        <f t="shared" si="11"/>
        <v>45820</v>
      </c>
      <c r="O199" s="10" t="s">
        <v>27</v>
      </c>
      <c r="P199" s="10" t="s">
        <v>28</v>
      </c>
      <c r="Q199" s="10"/>
      <c r="R199" s="14">
        <v>2</v>
      </c>
    </row>
    <row r="200" spans="1:18" x14ac:dyDescent="0.25">
      <c r="A200" s="21">
        <v>10</v>
      </c>
      <c r="B200" s="9" t="s">
        <v>655</v>
      </c>
      <c r="C200" s="10" t="s">
        <v>49</v>
      </c>
      <c r="D200" s="11">
        <v>45818</v>
      </c>
      <c r="E200" s="10" t="s">
        <v>211</v>
      </c>
      <c r="F200" s="10" t="s">
        <v>21</v>
      </c>
      <c r="G200" s="10" t="s">
        <v>22</v>
      </c>
      <c r="H200" s="10"/>
      <c r="I200" s="10" t="s">
        <v>50</v>
      </c>
      <c r="J200" s="12" t="s">
        <v>656</v>
      </c>
      <c r="K200" s="19" t="s">
        <v>22</v>
      </c>
      <c r="L200" s="10" t="s">
        <v>51</v>
      </c>
      <c r="M200" s="11">
        <f>D200+3</f>
        <v>45821</v>
      </c>
      <c r="N200" s="11">
        <f t="shared" si="11"/>
        <v>45821</v>
      </c>
      <c r="O200" s="10" t="s">
        <v>27</v>
      </c>
      <c r="P200" s="10" t="s">
        <v>28</v>
      </c>
      <c r="Q200" s="10"/>
      <c r="R200" s="14">
        <v>2</v>
      </c>
    </row>
    <row r="201" spans="1:18" x14ac:dyDescent="0.25">
      <c r="A201" s="21">
        <v>11</v>
      </c>
      <c r="B201" s="9" t="s">
        <v>657</v>
      </c>
      <c r="C201" s="10" t="s">
        <v>49</v>
      </c>
      <c r="D201" s="11">
        <v>45819</v>
      </c>
      <c r="E201" s="10" t="s">
        <v>502</v>
      </c>
      <c r="F201" s="10" t="s">
        <v>21</v>
      </c>
      <c r="G201" s="10">
        <v>23065</v>
      </c>
      <c r="H201" s="10" t="s">
        <v>650</v>
      </c>
      <c r="I201" s="10" t="s">
        <v>50</v>
      </c>
      <c r="J201" s="12" t="s">
        <v>658</v>
      </c>
      <c r="K201" s="19" t="s">
        <v>22</v>
      </c>
      <c r="L201" s="10" t="s">
        <v>108</v>
      </c>
      <c r="M201" s="11">
        <f>D201+7</f>
        <v>45826</v>
      </c>
      <c r="N201" s="11">
        <f t="shared" si="11"/>
        <v>45826</v>
      </c>
      <c r="O201" s="10" t="s">
        <v>27</v>
      </c>
      <c r="P201" s="10" t="s">
        <v>58</v>
      </c>
      <c r="Q201" s="10"/>
      <c r="R201" s="14">
        <v>1</v>
      </c>
    </row>
    <row r="202" spans="1:18" x14ac:dyDescent="0.25">
      <c r="A202" s="21">
        <v>12</v>
      </c>
      <c r="B202" s="9" t="s">
        <v>659</v>
      </c>
      <c r="C202" s="10" t="s">
        <v>49</v>
      </c>
      <c r="D202" s="11">
        <v>45819</v>
      </c>
      <c r="E202" s="10" t="s">
        <v>502</v>
      </c>
      <c r="F202" s="10" t="s">
        <v>21</v>
      </c>
      <c r="G202" s="10">
        <v>23065</v>
      </c>
      <c r="H202" s="10" t="s">
        <v>660</v>
      </c>
      <c r="I202" s="10" t="s">
        <v>50</v>
      </c>
      <c r="J202" s="12" t="s">
        <v>661</v>
      </c>
      <c r="K202" s="19" t="s">
        <v>22</v>
      </c>
      <c r="L202" s="10" t="s">
        <v>111</v>
      </c>
      <c r="M202" s="11">
        <f>D202+3</f>
        <v>45822</v>
      </c>
      <c r="N202" s="11">
        <f t="shared" si="11"/>
        <v>45822</v>
      </c>
      <c r="O202" s="10" t="s">
        <v>27</v>
      </c>
      <c r="P202" s="10" t="s">
        <v>45</v>
      </c>
      <c r="Q202" s="10"/>
      <c r="R202" s="14">
        <v>6</v>
      </c>
    </row>
    <row r="203" spans="1:18" x14ac:dyDescent="0.25">
      <c r="A203" s="21">
        <v>13</v>
      </c>
      <c r="B203" s="9" t="s">
        <v>662</v>
      </c>
      <c r="C203" s="10" t="s">
        <v>19</v>
      </c>
      <c r="D203" s="11">
        <v>45818</v>
      </c>
      <c r="E203" s="10" t="s">
        <v>454</v>
      </c>
      <c r="F203" s="10" t="s">
        <v>455</v>
      </c>
      <c r="G203" s="10" t="s">
        <v>22</v>
      </c>
      <c r="H203" s="10"/>
      <c r="I203" s="10" t="s">
        <v>23</v>
      </c>
      <c r="J203" s="12" t="s">
        <v>648</v>
      </c>
      <c r="K203" s="19" t="s">
        <v>22</v>
      </c>
      <c r="L203" s="10" t="s">
        <v>26</v>
      </c>
      <c r="M203" s="11">
        <f>D203+10</f>
        <v>45828</v>
      </c>
      <c r="N203" s="11">
        <f t="shared" si="11"/>
        <v>45828</v>
      </c>
      <c r="O203" s="10" t="s">
        <v>27</v>
      </c>
      <c r="P203" s="10" t="s">
        <v>65</v>
      </c>
      <c r="Q203" s="10"/>
      <c r="R203" s="14">
        <v>2</v>
      </c>
    </row>
    <row r="204" spans="1:18" x14ac:dyDescent="0.25">
      <c r="A204" s="21">
        <v>14</v>
      </c>
      <c r="B204" s="9" t="s">
        <v>663</v>
      </c>
      <c r="C204" s="10" t="s">
        <v>19</v>
      </c>
      <c r="D204" s="11">
        <v>45819</v>
      </c>
      <c r="E204" s="10" t="s">
        <v>450</v>
      </c>
      <c r="F204" s="10" t="s">
        <v>42</v>
      </c>
      <c r="G204" s="10">
        <v>23398</v>
      </c>
      <c r="H204" s="10" t="s">
        <v>451</v>
      </c>
      <c r="I204" s="10" t="s">
        <v>23</v>
      </c>
      <c r="J204" s="12" t="s">
        <v>648</v>
      </c>
      <c r="K204" s="19" t="s">
        <v>22</v>
      </c>
      <c r="L204" s="10" t="s">
        <v>26</v>
      </c>
      <c r="M204" s="11">
        <f>D204+1</f>
        <v>45820</v>
      </c>
      <c r="N204" s="11">
        <f t="shared" si="11"/>
        <v>45820</v>
      </c>
      <c r="O204" s="10" t="s">
        <v>27</v>
      </c>
      <c r="P204" s="10" t="s">
        <v>65</v>
      </c>
      <c r="Q204" s="10"/>
      <c r="R204" s="14">
        <v>2</v>
      </c>
    </row>
    <row r="205" spans="1:18" x14ac:dyDescent="0.25">
      <c r="A205" s="21">
        <v>15</v>
      </c>
      <c r="B205" s="9" t="s">
        <v>664</v>
      </c>
      <c r="C205" s="10" t="s">
        <v>19</v>
      </c>
      <c r="D205" s="11">
        <v>45824</v>
      </c>
      <c r="E205" s="10" t="s">
        <v>570</v>
      </c>
      <c r="F205" s="10" t="s">
        <v>42</v>
      </c>
      <c r="G205" s="10" t="s">
        <v>22</v>
      </c>
      <c r="H205" s="10" t="s">
        <v>665</v>
      </c>
      <c r="I205" s="10" t="s">
        <v>23</v>
      </c>
      <c r="J205" s="12" t="s">
        <v>666</v>
      </c>
      <c r="K205" s="19" t="s">
        <v>22</v>
      </c>
      <c r="L205" s="10" t="s">
        <v>26</v>
      </c>
      <c r="M205" s="11">
        <f>D205+1</f>
        <v>45825</v>
      </c>
      <c r="N205" s="11">
        <f t="shared" si="11"/>
        <v>45825</v>
      </c>
      <c r="O205" s="10" t="s">
        <v>27</v>
      </c>
      <c r="P205" s="10" t="s">
        <v>28</v>
      </c>
      <c r="Q205" s="10"/>
      <c r="R205" s="14">
        <v>2</v>
      </c>
    </row>
    <row r="206" spans="1:18" x14ac:dyDescent="0.25">
      <c r="A206" s="21">
        <v>16</v>
      </c>
      <c r="B206" s="9" t="s">
        <v>667</v>
      </c>
      <c r="C206" s="10" t="s">
        <v>19</v>
      </c>
      <c r="D206" s="11">
        <v>45827</v>
      </c>
      <c r="E206" s="10" t="s">
        <v>245</v>
      </c>
      <c r="F206" s="10" t="s">
        <v>21</v>
      </c>
      <c r="G206" s="10" t="s">
        <v>22</v>
      </c>
      <c r="H206" s="10" t="s">
        <v>469</v>
      </c>
      <c r="I206" s="10" t="s">
        <v>23</v>
      </c>
      <c r="J206" s="12" t="s">
        <v>668</v>
      </c>
      <c r="K206" s="19" t="s">
        <v>22</v>
      </c>
      <c r="L206" s="10" t="s">
        <v>83</v>
      </c>
      <c r="M206" s="11">
        <v>45827</v>
      </c>
      <c r="N206" s="11">
        <f t="shared" si="11"/>
        <v>45827</v>
      </c>
      <c r="O206" s="10" t="s">
        <v>27</v>
      </c>
      <c r="P206" s="10" t="s">
        <v>45</v>
      </c>
      <c r="Q206" s="10"/>
      <c r="R206" s="14">
        <v>1</v>
      </c>
    </row>
    <row r="207" spans="1:18" x14ac:dyDescent="0.25">
      <c r="A207" s="21">
        <v>17</v>
      </c>
      <c r="B207" s="9" t="s">
        <v>669</v>
      </c>
      <c r="C207" s="10" t="s">
        <v>19</v>
      </c>
      <c r="D207" s="11">
        <v>45831</v>
      </c>
      <c r="E207" s="10" t="s">
        <v>167</v>
      </c>
      <c r="F207" s="10" t="s">
        <v>42</v>
      </c>
      <c r="G207" s="10" t="s">
        <v>22</v>
      </c>
      <c r="H207" s="10" t="s">
        <v>168</v>
      </c>
      <c r="I207" s="10" t="s">
        <v>23</v>
      </c>
      <c r="J207" s="12" t="s">
        <v>670</v>
      </c>
      <c r="K207" s="19" t="s">
        <v>22</v>
      </c>
      <c r="L207" s="10" t="s">
        <v>26</v>
      </c>
      <c r="M207" s="11">
        <f>D207+4</f>
        <v>45835</v>
      </c>
      <c r="N207" s="11">
        <f t="shared" si="11"/>
        <v>45835</v>
      </c>
      <c r="O207" s="10" t="s">
        <v>27</v>
      </c>
      <c r="P207" s="10" t="s">
        <v>45</v>
      </c>
      <c r="Q207" s="10"/>
      <c r="R207" s="14">
        <v>1</v>
      </c>
    </row>
    <row r="208" spans="1:18" x14ac:dyDescent="0.25">
      <c r="A208" s="21">
        <v>18</v>
      </c>
      <c r="B208" s="9" t="s">
        <v>671</v>
      </c>
      <c r="C208" s="10" t="s">
        <v>19</v>
      </c>
      <c r="D208" s="11">
        <v>45832</v>
      </c>
      <c r="E208" s="10" t="s">
        <v>672</v>
      </c>
      <c r="F208" s="10" t="s">
        <v>42</v>
      </c>
      <c r="G208" s="10">
        <v>23451</v>
      </c>
      <c r="H208" s="10" t="s">
        <v>673</v>
      </c>
      <c r="I208" s="10" t="s">
        <v>23</v>
      </c>
      <c r="J208" s="12" t="s">
        <v>674</v>
      </c>
      <c r="K208" s="19" t="s">
        <v>22</v>
      </c>
      <c r="L208" s="10" t="s">
        <v>83</v>
      </c>
      <c r="M208" s="11">
        <f>D208+3</f>
        <v>45835</v>
      </c>
      <c r="N208" s="11">
        <f t="shared" si="11"/>
        <v>45835</v>
      </c>
      <c r="O208" s="10" t="s">
        <v>27</v>
      </c>
      <c r="P208" s="10" t="s">
        <v>65</v>
      </c>
      <c r="Q208" s="10"/>
      <c r="R208" s="14">
        <v>1</v>
      </c>
    </row>
    <row r="209" spans="1:19" x14ac:dyDescent="0.25">
      <c r="A209" s="21">
        <v>19</v>
      </c>
      <c r="B209" s="9" t="s">
        <v>675</v>
      </c>
      <c r="C209" s="10" t="s">
        <v>19</v>
      </c>
      <c r="D209" s="11">
        <v>45833</v>
      </c>
      <c r="E209" s="11" t="s">
        <v>616</v>
      </c>
      <c r="F209" s="10" t="s">
        <v>455</v>
      </c>
      <c r="G209" s="10">
        <v>22857</v>
      </c>
      <c r="H209" s="10" t="s">
        <v>676</v>
      </c>
      <c r="I209" s="10" t="s">
        <v>23</v>
      </c>
      <c r="J209" s="12" t="s">
        <v>677</v>
      </c>
      <c r="K209" s="19" t="s">
        <v>22</v>
      </c>
      <c r="L209" s="10" t="s">
        <v>44</v>
      </c>
      <c r="M209" s="11">
        <f>D209+7</f>
        <v>45840</v>
      </c>
      <c r="N209" s="11">
        <f t="shared" si="11"/>
        <v>45840</v>
      </c>
      <c r="O209" s="10" t="s">
        <v>27</v>
      </c>
      <c r="P209" s="10" t="s">
        <v>58</v>
      </c>
      <c r="Q209" s="10"/>
      <c r="R209" s="14">
        <v>3</v>
      </c>
    </row>
    <row r="210" spans="1:19" x14ac:dyDescent="0.25">
      <c r="A210" s="21">
        <v>20</v>
      </c>
      <c r="B210" s="9" t="s">
        <v>678</v>
      </c>
      <c r="C210" s="10" t="s">
        <v>49</v>
      </c>
      <c r="D210" s="11">
        <v>45833</v>
      </c>
      <c r="E210" s="10" t="s">
        <v>679</v>
      </c>
      <c r="F210" s="10" t="s">
        <v>21</v>
      </c>
      <c r="G210" s="10" t="s">
        <v>22</v>
      </c>
      <c r="H210" s="10" t="s">
        <v>22</v>
      </c>
      <c r="I210" s="10" t="s">
        <v>56</v>
      </c>
      <c r="J210" s="12" t="s">
        <v>680</v>
      </c>
      <c r="K210" s="19" t="s">
        <v>22</v>
      </c>
      <c r="L210" s="10" t="s">
        <v>69</v>
      </c>
      <c r="M210" s="11">
        <f>D210+7</f>
        <v>45840</v>
      </c>
      <c r="N210" s="11">
        <f t="shared" si="11"/>
        <v>45840</v>
      </c>
      <c r="O210" s="10" t="s">
        <v>27</v>
      </c>
      <c r="P210" s="10" t="s">
        <v>58</v>
      </c>
      <c r="Q210" s="10"/>
      <c r="R210" s="14">
        <v>24</v>
      </c>
    </row>
    <row r="211" spans="1:19" x14ac:dyDescent="0.25">
      <c r="A211" s="21">
        <v>21</v>
      </c>
      <c r="B211" s="9" t="s">
        <v>681</v>
      </c>
      <c r="C211" s="10" t="s">
        <v>49</v>
      </c>
      <c r="D211" s="11">
        <v>45833</v>
      </c>
      <c r="E211" s="10" t="s">
        <v>682</v>
      </c>
      <c r="F211" s="10" t="s">
        <v>21</v>
      </c>
      <c r="G211" s="10" t="s">
        <v>22</v>
      </c>
      <c r="H211" s="10" t="s">
        <v>22</v>
      </c>
      <c r="I211" s="10" t="s">
        <v>56</v>
      </c>
      <c r="J211" s="12" t="s">
        <v>683</v>
      </c>
      <c r="K211" s="19" t="s">
        <v>22</v>
      </c>
      <c r="L211" s="10" t="s">
        <v>108</v>
      </c>
      <c r="M211" s="11">
        <f>D211+7</f>
        <v>45840</v>
      </c>
      <c r="N211" s="11">
        <f t="shared" si="11"/>
        <v>45840</v>
      </c>
      <c r="O211" s="10" t="s">
        <v>27</v>
      </c>
      <c r="P211" s="10" t="s">
        <v>65</v>
      </c>
      <c r="Q211" s="10"/>
      <c r="R211" s="14">
        <v>36</v>
      </c>
    </row>
    <row r="212" spans="1:19" x14ac:dyDescent="0.25">
      <c r="A212" s="21">
        <v>22</v>
      </c>
      <c r="B212" s="9" t="s">
        <v>684</v>
      </c>
      <c r="C212" s="10" t="s">
        <v>19</v>
      </c>
      <c r="D212" s="11">
        <v>45838</v>
      </c>
      <c r="E212" s="10" t="s">
        <v>245</v>
      </c>
      <c r="F212" s="10" t="s">
        <v>21</v>
      </c>
      <c r="G212" s="10" t="s">
        <v>22</v>
      </c>
      <c r="H212" s="10" t="s">
        <v>353</v>
      </c>
      <c r="I212" s="10" t="s">
        <v>23</v>
      </c>
      <c r="J212" s="12" t="s">
        <v>685</v>
      </c>
      <c r="K212" s="19" t="s">
        <v>22</v>
      </c>
      <c r="L212" s="10" t="s">
        <v>83</v>
      </c>
      <c r="M212" s="11">
        <v>45838</v>
      </c>
      <c r="N212" s="11">
        <f t="shared" si="11"/>
        <v>45838</v>
      </c>
      <c r="O212" s="10" t="s">
        <v>27</v>
      </c>
      <c r="P212" s="10" t="s">
        <v>45</v>
      </c>
      <c r="Q212" s="10"/>
      <c r="R212" s="14">
        <v>1</v>
      </c>
      <c r="S212" s="24">
        <f>SUM(R191:R212)</f>
        <v>122</v>
      </c>
    </row>
    <row r="213" spans="1:19" x14ac:dyDescent="0.25">
      <c r="A213" s="25">
        <v>1</v>
      </c>
      <c r="B213" s="9" t="s">
        <v>686</v>
      </c>
      <c r="C213" s="10" t="s">
        <v>19</v>
      </c>
      <c r="D213" s="11">
        <v>45839</v>
      </c>
      <c r="E213" s="10" t="s">
        <v>291</v>
      </c>
      <c r="F213" s="10" t="s">
        <v>42</v>
      </c>
      <c r="G213" s="10" t="s">
        <v>22</v>
      </c>
      <c r="H213" s="10" t="s">
        <v>687</v>
      </c>
      <c r="I213" s="10" t="s">
        <v>23</v>
      </c>
      <c r="J213" s="12" t="s">
        <v>688</v>
      </c>
      <c r="K213" s="19" t="s">
        <v>22</v>
      </c>
      <c r="L213" s="10" t="s">
        <v>26</v>
      </c>
      <c r="M213" s="11">
        <f>D213+3</f>
        <v>45842</v>
      </c>
      <c r="N213" s="11">
        <f t="shared" si="11"/>
        <v>45842</v>
      </c>
      <c r="O213" s="10" t="s">
        <v>46</v>
      </c>
      <c r="P213" s="10" t="s">
        <v>65</v>
      </c>
      <c r="Q213" s="10"/>
      <c r="R213" s="14">
        <v>3</v>
      </c>
    </row>
    <row r="214" spans="1:19" x14ac:dyDescent="0.25">
      <c r="A214" s="25">
        <v>2</v>
      </c>
      <c r="B214" s="9" t="s">
        <v>689</v>
      </c>
      <c r="C214" s="10" t="s">
        <v>49</v>
      </c>
      <c r="D214" s="11">
        <v>45841</v>
      </c>
      <c r="E214" s="10" t="s">
        <v>327</v>
      </c>
      <c r="F214" s="10" t="s">
        <v>328</v>
      </c>
      <c r="G214" s="10" t="s">
        <v>22</v>
      </c>
      <c r="H214" s="10" t="s">
        <v>22</v>
      </c>
      <c r="I214" s="10" t="s">
        <v>50</v>
      </c>
      <c r="J214" s="12" t="s">
        <v>690</v>
      </c>
      <c r="K214" s="19" t="s">
        <v>22</v>
      </c>
      <c r="L214" s="10" t="s">
        <v>69</v>
      </c>
      <c r="M214" s="11">
        <v>45845</v>
      </c>
      <c r="N214" s="11">
        <f t="shared" si="11"/>
        <v>45845</v>
      </c>
      <c r="O214" s="10" t="s">
        <v>27</v>
      </c>
      <c r="P214" s="10" t="s">
        <v>58</v>
      </c>
      <c r="Q214" s="10"/>
      <c r="R214" s="14">
        <v>43</v>
      </c>
    </row>
    <row r="215" spans="1:19" x14ac:dyDescent="0.25">
      <c r="A215" s="25">
        <v>3</v>
      </c>
      <c r="B215" s="9" t="s">
        <v>691</v>
      </c>
      <c r="C215" s="10" t="s">
        <v>49</v>
      </c>
      <c r="D215" s="11">
        <v>45841</v>
      </c>
      <c r="E215" s="10" t="s">
        <v>692</v>
      </c>
      <c r="F215" s="10" t="s">
        <v>21</v>
      </c>
      <c r="G215" s="10" t="s">
        <v>22</v>
      </c>
      <c r="H215" s="10" t="s">
        <v>22</v>
      </c>
      <c r="I215" s="10" t="s">
        <v>50</v>
      </c>
      <c r="J215" s="12" t="s">
        <v>693</v>
      </c>
      <c r="K215" s="19" t="s">
        <v>22</v>
      </c>
      <c r="L215" s="10" t="s">
        <v>69</v>
      </c>
      <c r="M215" s="11">
        <v>45846</v>
      </c>
      <c r="N215" s="11">
        <f t="shared" si="11"/>
        <v>45846</v>
      </c>
      <c r="O215" s="10" t="s">
        <v>39</v>
      </c>
      <c r="P215" s="10" t="s">
        <v>58</v>
      </c>
      <c r="Q215" s="10"/>
      <c r="R215" s="14">
        <v>19</v>
      </c>
    </row>
    <row r="216" spans="1:19" x14ac:dyDescent="0.25">
      <c r="A216" s="25">
        <v>4</v>
      </c>
      <c r="B216" s="9" t="s">
        <v>694</v>
      </c>
      <c r="C216" s="10" t="s">
        <v>49</v>
      </c>
      <c r="D216" s="11">
        <v>45833</v>
      </c>
      <c r="E216" s="10" t="s">
        <v>682</v>
      </c>
      <c r="F216" s="10" t="s">
        <v>21</v>
      </c>
      <c r="G216" s="10" t="s">
        <v>22</v>
      </c>
      <c r="H216" s="10" t="s">
        <v>22</v>
      </c>
      <c r="I216" s="10" t="s">
        <v>56</v>
      </c>
      <c r="J216" s="12" t="s">
        <v>695</v>
      </c>
      <c r="K216" s="19" t="s">
        <v>22</v>
      </c>
      <c r="L216" s="10" t="s">
        <v>108</v>
      </c>
      <c r="M216" s="11">
        <v>45853</v>
      </c>
      <c r="N216" s="11">
        <f t="shared" si="11"/>
        <v>45853</v>
      </c>
      <c r="O216" s="10" t="s">
        <v>27</v>
      </c>
      <c r="P216" s="10" t="s">
        <v>65</v>
      </c>
      <c r="Q216" s="10"/>
      <c r="R216" s="14">
        <v>35</v>
      </c>
    </row>
    <row r="217" spans="1:19" x14ac:dyDescent="0.25">
      <c r="A217" s="25">
        <v>5</v>
      </c>
      <c r="B217" s="9" t="s">
        <v>696</v>
      </c>
      <c r="C217" s="10" t="s">
        <v>19</v>
      </c>
      <c r="D217" s="11">
        <v>45841</v>
      </c>
      <c r="E217" s="10" t="s">
        <v>697</v>
      </c>
      <c r="F217" s="10" t="s">
        <v>62</v>
      </c>
      <c r="G217" s="10" t="s">
        <v>22</v>
      </c>
      <c r="H217" s="10" t="s">
        <v>698</v>
      </c>
      <c r="I217" s="10" t="s">
        <v>23</v>
      </c>
      <c r="J217" s="12" t="s">
        <v>699</v>
      </c>
      <c r="K217" s="19" t="s">
        <v>22</v>
      </c>
      <c r="L217" s="10" t="s">
        <v>26</v>
      </c>
      <c r="M217" s="11">
        <f>D217+7</f>
        <v>45848</v>
      </c>
      <c r="N217" s="11">
        <f t="shared" si="11"/>
        <v>45848</v>
      </c>
      <c r="O217" s="10" t="s">
        <v>27</v>
      </c>
      <c r="P217" s="10" t="s">
        <v>38</v>
      </c>
      <c r="Q217" s="10"/>
      <c r="R217" s="14">
        <v>4</v>
      </c>
    </row>
    <row r="218" spans="1:19" x14ac:dyDescent="0.25">
      <c r="A218" s="25">
        <v>6</v>
      </c>
      <c r="B218" s="9" t="s">
        <v>700</v>
      </c>
      <c r="C218" s="10" t="s">
        <v>19</v>
      </c>
      <c r="D218" s="11">
        <v>45841</v>
      </c>
      <c r="E218" s="10" t="s">
        <v>33</v>
      </c>
      <c r="F218" s="10" t="s">
        <v>701</v>
      </c>
      <c r="G218" s="10" t="s">
        <v>22</v>
      </c>
      <c r="H218" s="10" t="s">
        <v>702</v>
      </c>
      <c r="I218" s="10" t="s">
        <v>23</v>
      </c>
      <c r="J218" s="12" t="s">
        <v>703</v>
      </c>
      <c r="K218" s="19" t="s">
        <v>22</v>
      </c>
      <c r="L218" s="10" t="s">
        <v>89</v>
      </c>
      <c r="M218" s="11">
        <f>D218+7</f>
        <v>45848</v>
      </c>
      <c r="N218" s="11">
        <f t="shared" si="11"/>
        <v>45848</v>
      </c>
      <c r="O218" s="10" t="s">
        <v>27</v>
      </c>
      <c r="P218" s="10" t="s">
        <v>58</v>
      </c>
      <c r="Q218" s="10"/>
      <c r="R218" s="14">
        <v>1</v>
      </c>
    </row>
    <row r="219" spans="1:19" x14ac:dyDescent="0.25">
      <c r="A219" s="25">
        <v>7</v>
      </c>
      <c r="B219" s="9" t="s">
        <v>704</v>
      </c>
      <c r="C219" s="10" t="s">
        <v>19</v>
      </c>
      <c r="D219" s="11">
        <v>45841</v>
      </c>
      <c r="E219" s="10" t="s">
        <v>705</v>
      </c>
      <c r="F219" s="10" t="s">
        <v>21</v>
      </c>
      <c r="G219" s="10" t="s">
        <v>22</v>
      </c>
      <c r="H219" s="10" t="s">
        <v>706</v>
      </c>
      <c r="I219" s="10" t="s">
        <v>23</v>
      </c>
      <c r="J219" s="12" t="s">
        <v>707</v>
      </c>
      <c r="K219" s="19" t="s">
        <v>22</v>
      </c>
      <c r="L219" s="10" t="s">
        <v>26</v>
      </c>
      <c r="M219" s="11">
        <f>D219+7</f>
        <v>45848</v>
      </c>
      <c r="N219" s="11">
        <f t="shared" si="11"/>
        <v>45848</v>
      </c>
      <c r="O219" s="10" t="s">
        <v>27</v>
      </c>
      <c r="P219" s="10" t="s">
        <v>58</v>
      </c>
      <c r="Q219" s="10"/>
      <c r="R219" s="14">
        <v>6</v>
      </c>
    </row>
    <row r="220" spans="1:19" x14ac:dyDescent="0.25">
      <c r="A220" s="25">
        <v>8</v>
      </c>
      <c r="B220" s="9" t="s">
        <v>708</v>
      </c>
      <c r="C220" s="10" t="s">
        <v>35</v>
      </c>
      <c r="D220" s="11">
        <v>45845</v>
      </c>
      <c r="E220" s="10" t="s">
        <v>527</v>
      </c>
      <c r="F220" s="10" t="s">
        <v>21</v>
      </c>
      <c r="G220" s="10">
        <v>24307</v>
      </c>
      <c r="H220" s="10" t="s">
        <v>709</v>
      </c>
      <c r="I220" s="10" t="s">
        <v>50</v>
      </c>
      <c r="J220" s="12" t="s">
        <v>710</v>
      </c>
      <c r="K220" s="19" t="s">
        <v>22</v>
      </c>
      <c r="L220" s="10" t="s">
        <v>92</v>
      </c>
      <c r="M220" s="11">
        <f>D220+4</f>
        <v>45849</v>
      </c>
      <c r="N220" s="11">
        <f t="shared" si="11"/>
        <v>45849</v>
      </c>
      <c r="O220" s="10" t="s">
        <v>27</v>
      </c>
      <c r="P220" s="10" t="s">
        <v>65</v>
      </c>
      <c r="Q220" s="10"/>
      <c r="R220" s="14">
        <v>8</v>
      </c>
    </row>
    <row r="221" spans="1:19" x14ac:dyDescent="0.25">
      <c r="A221" s="25">
        <v>9</v>
      </c>
      <c r="B221" s="9" t="s">
        <v>711</v>
      </c>
      <c r="C221" s="10" t="s">
        <v>19</v>
      </c>
      <c r="D221" s="11">
        <v>45845</v>
      </c>
      <c r="E221" s="10" t="s">
        <v>712</v>
      </c>
      <c r="F221" s="10" t="s">
        <v>21</v>
      </c>
      <c r="G221" s="10" t="s">
        <v>22</v>
      </c>
      <c r="H221" s="10" t="s">
        <v>713</v>
      </c>
      <c r="I221" s="10" t="s">
        <v>23</v>
      </c>
      <c r="J221" s="12" t="s">
        <v>714</v>
      </c>
      <c r="K221" s="19" t="s">
        <v>22</v>
      </c>
      <c r="L221" s="10" t="s">
        <v>26</v>
      </c>
      <c r="M221" s="11">
        <f>D221+4</f>
        <v>45849</v>
      </c>
      <c r="N221" s="11">
        <f t="shared" si="11"/>
        <v>45849</v>
      </c>
      <c r="O221" s="10" t="s">
        <v>27</v>
      </c>
      <c r="P221" s="10" t="s">
        <v>28</v>
      </c>
      <c r="Q221" s="10"/>
      <c r="R221" s="14">
        <v>1</v>
      </c>
    </row>
    <row r="222" spans="1:19" x14ac:dyDescent="0.25">
      <c r="A222" s="25">
        <v>10</v>
      </c>
      <c r="B222" s="9" t="s">
        <v>715</v>
      </c>
      <c r="C222" s="10" t="s">
        <v>19</v>
      </c>
      <c r="D222" s="11">
        <v>45846</v>
      </c>
      <c r="E222" s="10" t="s">
        <v>716</v>
      </c>
      <c r="F222" s="10" t="s">
        <v>42</v>
      </c>
      <c r="G222" s="10" t="s">
        <v>22</v>
      </c>
      <c r="H222" s="10" t="s">
        <v>68</v>
      </c>
      <c r="I222" s="10" t="s">
        <v>23</v>
      </c>
      <c r="J222" s="12" t="s">
        <v>717</v>
      </c>
      <c r="K222" s="19" t="s">
        <v>22</v>
      </c>
      <c r="L222" s="10" t="s">
        <v>26</v>
      </c>
      <c r="M222" s="11">
        <f>D222+3</f>
        <v>45849</v>
      </c>
      <c r="N222" s="11">
        <f t="shared" si="11"/>
        <v>45849</v>
      </c>
      <c r="O222" s="10" t="s">
        <v>39</v>
      </c>
      <c r="P222" s="10" t="s">
        <v>58</v>
      </c>
      <c r="Q222" s="10"/>
      <c r="R222" s="14">
        <v>7</v>
      </c>
    </row>
    <row r="223" spans="1:19" x14ac:dyDescent="0.25">
      <c r="A223" s="25">
        <v>11</v>
      </c>
      <c r="B223" s="9" t="s">
        <v>718</v>
      </c>
      <c r="C223" s="10" t="s">
        <v>35</v>
      </c>
      <c r="D223" s="11">
        <v>45849</v>
      </c>
      <c r="E223" s="10" t="s">
        <v>588</v>
      </c>
      <c r="F223" s="10" t="s">
        <v>21</v>
      </c>
      <c r="G223" s="10" t="s">
        <v>22</v>
      </c>
      <c r="H223" s="10" t="s">
        <v>719</v>
      </c>
      <c r="I223" s="10" t="s">
        <v>23</v>
      </c>
      <c r="J223" s="12" t="s">
        <v>720</v>
      </c>
      <c r="K223" s="19" t="s">
        <v>22</v>
      </c>
      <c r="L223" s="10" t="s">
        <v>73</v>
      </c>
      <c r="M223" s="11">
        <f>D223+7</f>
        <v>45856</v>
      </c>
      <c r="N223" s="11">
        <f t="shared" si="11"/>
        <v>45856</v>
      </c>
      <c r="O223" s="10" t="s">
        <v>27</v>
      </c>
      <c r="P223" s="10" t="s">
        <v>38</v>
      </c>
      <c r="Q223" s="10"/>
      <c r="R223" s="14">
        <v>1</v>
      </c>
    </row>
    <row r="224" spans="1:19" x14ac:dyDescent="0.25">
      <c r="A224" s="25">
        <v>12</v>
      </c>
      <c r="B224" s="9" t="s">
        <v>721</v>
      </c>
      <c r="C224" s="10" t="s">
        <v>19</v>
      </c>
      <c r="D224" s="11">
        <v>45849</v>
      </c>
      <c r="E224" s="10" t="s">
        <v>450</v>
      </c>
      <c r="F224" s="10" t="s">
        <v>42</v>
      </c>
      <c r="G224" s="10">
        <v>23398</v>
      </c>
      <c r="H224" s="10" t="s">
        <v>68</v>
      </c>
      <c r="I224" s="10" t="s">
        <v>23</v>
      </c>
      <c r="J224" s="12" t="s">
        <v>722</v>
      </c>
      <c r="K224" s="19" t="s">
        <v>22</v>
      </c>
      <c r="L224" s="10" t="s">
        <v>26</v>
      </c>
      <c r="M224" s="11">
        <f t="shared" ref="M224:M229" si="14">D224</f>
        <v>45849</v>
      </c>
      <c r="N224" s="11">
        <f>M224</f>
        <v>45849</v>
      </c>
      <c r="O224" s="10" t="s">
        <v>27</v>
      </c>
      <c r="P224" s="10" t="s">
        <v>28</v>
      </c>
      <c r="Q224" s="10"/>
      <c r="R224" s="14">
        <v>2</v>
      </c>
    </row>
    <row r="225" spans="1:19" x14ac:dyDescent="0.25">
      <c r="A225" s="25">
        <v>13</v>
      </c>
      <c r="B225" s="9" t="s">
        <v>723</v>
      </c>
      <c r="C225" s="10" t="s">
        <v>19</v>
      </c>
      <c r="D225" s="11">
        <v>45849</v>
      </c>
      <c r="E225" s="10" t="s">
        <v>379</v>
      </c>
      <c r="F225" s="10" t="s">
        <v>42</v>
      </c>
      <c r="G225" s="10">
        <v>24280</v>
      </c>
      <c r="H225" s="10" t="s">
        <v>68</v>
      </c>
      <c r="I225" s="10" t="s">
        <v>23</v>
      </c>
      <c r="J225" s="12" t="s">
        <v>724</v>
      </c>
      <c r="K225" s="19" t="s">
        <v>22</v>
      </c>
      <c r="L225" s="10" t="s">
        <v>117</v>
      </c>
      <c r="M225" s="11">
        <f t="shared" si="14"/>
        <v>45849</v>
      </c>
      <c r="N225" s="11">
        <f>M225</f>
        <v>45849</v>
      </c>
      <c r="O225" s="10" t="s">
        <v>27</v>
      </c>
      <c r="P225" s="10" t="s">
        <v>65</v>
      </c>
      <c r="Q225" s="10"/>
      <c r="R225" s="14">
        <v>2</v>
      </c>
    </row>
    <row r="226" spans="1:19" x14ac:dyDescent="0.25">
      <c r="A226" s="25">
        <v>14</v>
      </c>
      <c r="B226" s="9" t="s">
        <v>725</v>
      </c>
      <c r="C226" s="10" t="s">
        <v>19</v>
      </c>
      <c r="D226" s="11">
        <v>45860</v>
      </c>
      <c r="E226" s="10" t="s">
        <v>726</v>
      </c>
      <c r="F226" s="10" t="s">
        <v>42</v>
      </c>
      <c r="G226" s="10" t="s">
        <v>22</v>
      </c>
      <c r="H226" s="10" t="s">
        <v>68</v>
      </c>
      <c r="I226" s="10" t="s">
        <v>23</v>
      </c>
      <c r="J226" s="12" t="s">
        <v>727</v>
      </c>
      <c r="K226" s="19" t="s">
        <v>22</v>
      </c>
      <c r="L226" s="10" t="s">
        <v>89</v>
      </c>
      <c r="M226" s="11">
        <f t="shared" si="14"/>
        <v>45860</v>
      </c>
      <c r="N226" s="11">
        <f>M226</f>
        <v>45860</v>
      </c>
      <c r="O226" s="10" t="s">
        <v>27</v>
      </c>
      <c r="P226" s="10" t="s">
        <v>65</v>
      </c>
      <c r="Q226" s="10"/>
      <c r="R226" s="14">
        <v>1</v>
      </c>
    </row>
    <row r="227" spans="1:19" x14ac:dyDescent="0.25">
      <c r="A227" s="25">
        <v>15</v>
      </c>
      <c r="B227" s="9" t="s">
        <v>728</v>
      </c>
      <c r="C227" s="10" t="s">
        <v>19</v>
      </c>
      <c r="D227" s="11">
        <v>45860</v>
      </c>
      <c r="E227" s="10" t="s">
        <v>530</v>
      </c>
      <c r="F227" s="10" t="s">
        <v>42</v>
      </c>
      <c r="G227" s="10">
        <v>23958</v>
      </c>
      <c r="H227" s="10" t="s">
        <v>68</v>
      </c>
      <c r="I227" s="10" t="s">
        <v>23</v>
      </c>
      <c r="J227" s="12" t="s">
        <v>729</v>
      </c>
      <c r="K227" s="19" t="s">
        <v>22</v>
      </c>
      <c r="L227" s="10" t="s">
        <v>117</v>
      </c>
      <c r="M227" s="11">
        <f t="shared" si="14"/>
        <v>45860</v>
      </c>
      <c r="N227" s="11">
        <f>M227</f>
        <v>45860</v>
      </c>
      <c r="O227" s="10" t="s">
        <v>27</v>
      </c>
      <c r="P227" s="10" t="s">
        <v>28</v>
      </c>
      <c r="Q227" s="10"/>
      <c r="R227" s="14">
        <v>1</v>
      </c>
    </row>
    <row r="228" spans="1:19" x14ac:dyDescent="0.25">
      <c r="A228" s="25">
        <v>16</v>
      </c>
      <c r="B228" s="9" t="s">
        <v>730</v>
      </c>
      <c r="C228" s="10" t="s">
        <v>49</v>
      </c>
      <c r="D228" s="11">
        <v>45849</v>
      </c>
      <c r="E228" s="10" t="s">
        <v>211</v>
      </c>
      <c r="F228" s="10" t="s">
        <v>21</v>
      </c>
      <c r="G228" s="10" t="s">
        <v>22</v>
      </c>
      <c r="H228" s="10" t="s">
        <v>443</v>
      </c>
      <c r="I228" s="10" t="s">
        <v>50</v>
      </c>
      <c r="J228" s="12" t="s">
        <v>731</v>
      </c>
      <c r="K228" s="19" t="s">
        <v>22</v>
      </c>
      <c r="L228" s="10" t="s">
        <v>99</v>
      </c>
      <c r="M228" s="11">
        <f t="shared" si="14"/>
        <v>45849</v>
      </c>
      <c r="N228" s="11">
        <f>M228</f>
        <v>45849</v>
      </c>
      <c r="O228" s="10" t="s">
        <v>27</v>
      </c>
      <c r="P228" s="10" t="s">
        <v>65</v>
      </c>
      <c r="Q228" s="10"/>
      <c r="R228" s="14">
        <v>20</v>
      </c>
    </row>
    <row r="229" spans="1:19" x14ac:dyDescent="0.25">
      <c r="A229" s="25">
        <v>17</v>
      </c>
      <c r="B229" s="9" t="s">
        <v>732</v>
      </c>
      <c r="C229" s="10" t="s">
        <v>49</v>
      </c>
      <c r="D229" s="11">
        <v>45841</v>
      </c>
      <c r="E229" s="10" t="s">
        <v>437</v>
      </c>
      <c r="F229" s="10" t="s">
        <v>21</v>
      </c>
      <c r="G229" s="10">
        <v>24107</v>
      </c>
      <c r="H229" s="10" t="s">
        <v>733</v>
      </c>
      <c r="I229" s="10" t="s">
        <v>56</v>
      </c>
      <c r="J229" s="12" t="s">
        <v>734</v>
      </c>
      <c r="K229" s="19" t="s">
        <v>22</v>
      </c>
      <c r="L229" s="10" t="s">
        <v>108</v>
      </c>
      <c r="M229" s="11">
        <f t="shared" si="14"/>
        <v>45841</v>
      </c>
      <c r="N229" s="11">
        <f>M229+25</f>
        <v>45866</v>
      </c>
      <c r="O229" s="10" t="s">
        <v>27</v>
      </c>
      <c r="P229" s="10" t="s">
        <v>58</v>
      </c>
      <c r="Q229" s="10"/>
      <c r="R229" s="14">
        <v>10</v>
      </c>
    </row>
    <row r="230" spans="1:19" x14ac:dyDescent="0.25">
      <c r="A230" s="25">
        <v>18</v>
      </c>
      <c r="B230" s="9" t="s">
        <v>735</v>
      </c>
      <c r="C230" s="10" t="s">
        <v>35</v>
      </c>
      <c r="D230" s="11">
        <v>45867</v>
      </c>
      <c r="E230" s="10" t="s">
        <v>588</v>
      </c>
      <c r="F230" s="10" t="s">
        <v>21</v>
      </c>
      <c r="G230" s="10" t="s">
        <v>22</v>
      </c>
      <c r="H230" s="10" t="s">
        <v>736</v>
      </c>
      <c r="I230" s="10" t="s">
        <v>23</v>
      </c>
      <c r="J230" s="12" t="s">
        <v>737</v>
      </c>
      <c r="K230" s="19" t="s">
        <v>22</v>
      </c>
      <c r="L230" s="10" t="s">
        <v>111</v>
      </c>
      <c r="M230" s="11">
        <f>D230+1</f>
        <v>45868</v>
      </c>
      <c r="N230" s="11">
        <f>M230</f>
        <v>45868</v>
      </c>
      <c r="O230" s="10" t="s">
        <v>27</v>
      </c>
      <c r="P230" s="10" t="s">
        <v>28</v>
      </c>
      <c r="Q230" s="10"/>
      <c r="R230" s="14">
        <v>2</v>
      </c>
    </row>
    <row r="231" spans="1:19" x14ac:dyDescent="0.25">
      <c r="A231" s="25">
        <v>19</v>
      </c>
      <c r="B231" s="9" t="s">
        <v>738</v>
      </c>
      <c r="C231" s="10" t="s">
        <v>19</v>
      </c>
      <c r="D231" s="11">
        <v>45867</v>
      </c>
      <c r="E231" s="11" t="s">
        <v>616</v>
      </c>
      <c r="F231" s="10" t="s">
        <v>455</v>
      </c>
      <c r="G231" s="10">
        <v>22857</v>
      </c>
      <c r="H231" s="10" t="s">
        <v>676</v>
      </c>
      <c r="I231" s="10" t="s">
        <v>23</v>
      </c>
      <c r="J231" s="12" t="s">
        <v>739</v>
      </c>
      <c r="K231" s="19" t="s">
        <v>22</v>
      </c>
      <c r="L231" s="10" t="s">
        <v>26</v>
      </c>
      <c r="M231" s="11">
        <f>D231</f>
        <v>45867</v>
      </c>
      <c r="N231" s="11">
        <f>M231</f>
        <v>45867</v>
      </c>
      <c r="O231" s="10" t="s">
        <v>27</v>
      </c>
      <c r="P231" s="10" t="s">
        <v>58</v>
      </c>
      <c r="Q231" s="10"/>
      <c r="R231" s="14">
        <v>2</v>
      </c>
    </row>
    <row r="232" spans="1:19" x14ac:dyDescent="0.25">
      <c r="A232" s="25">
        <v>20</v>
      </c>
      <c r="B232" s="9" t="s">
        <v>740</v>
      </c>
      <c r="C232" s="10" t="s">
        <v>49</v>
      </c>
      <c r="D232" s="11">
        <v>45867</v>
      </c>
      <c r="E232" s="10" t="s">
        <v>327</v>
      </c>
      <c r="F232" s="10" t="s">
        <v>328</v>
      </c>
      <c r="G232" s="10" t="s">
        <v>22</v>
      </c>
      <c r="H232" s="10" t="s">
        <v>22</v>
      </c>
      <c r="I232" s="10" t="s">
        <v>56</v>
      </c>
      <c r="J232" s="12" t="s">
        <v>741</v>
      </c>
      <c r="K232" s="19" t="s">
        <v>22</v>
      </c>
      <c r="L232" s="10" t="s">
        <v>108</v>
      </c>
      <c r="M232" s="11">
        <v>45874</v>
      </c>
      <c r="N232" s="11">
        <f t="shared" ref="N232:N233" si="15">M232</f>
        <v>45874</v>
      </c>
      <c r="O232" s="10" t="s">
        <v>27</v>
      </c>
      <c r="P232" s="10" t="s">
        <v>58</v>
      </c>
      <c r="Q232" s="10"/>
      <c r="R232" s="14">
        <v>56</v>
      </c>
    </row>
    <row r="233" spans="1:19" x14ac:dyDescent="0.25">
      <c r="A233" s="25">
        <v>21</v>
      </c>
      <c r="B233" s="9" t="s">
        <v>742</v>
      </c>
      <c r="C233" s="10" t="s">
        <v>49</v>
      </c>
      <c r="D233" s="11">
        <v>45867</v>
      </c>
      <c r="E233" s="10" t="s">
        <v>692</v>
      </c>
      <c r="F233" s="10" t="s">
        <v>21</v>
      </c>
      <c r="G233" s="10">
        <v>24063</v>
      </c>
      <c r="H233" s="10" t="s">
        <v>22</v>
      </c>
      <c r="I233" s="10" t="s">
        <v>56</v>
      </c>
      <c r="J233" s="12" t="s">
        <v>743</v>
      </c>
      <c r="K233" s="19" t="s">
        <v>22</v>
      </c>
      <c r="L233" s="10" t="s">
        <v>69</v>
      </c>
      <c r="M233" s="11">
        <v>45868</v>
      </c>
      <c r="N233" s="11">
        <f t="shared" si="15"/>
        <v>45868</v>
      </c>
      <c r="O233" s="10" t="s">
        <v>27</v>
      </c>
      <c r="P233" s="10" t="s">
        <v>58</v>
      </c>
      <c r="Q233" s="10"/>
      <c r="R233" s="14">
        <v>8</v>
      </c>
    </row>
    <row r="234" spans="1:19" x14ac:dyDescent="0.25">
      <c r="A234" s="25">
        <v>22</v>
      </c>
      <c r="B234" s="9" t="s">
        <v>744</v>
      </c>
      <c r="C234" s="10" t="s">
        <v>19</v>
      </c>
      <c r="D234" s="11">
        <v>45867</v>
      </c>
      <c r="E234" s="10" t="s">
        <v>167</v>
      </c>
      <c r="F234" s="10" t="s">
        <v>42</v>
      </c>
      <c r="G234" s="10" t="s">
        <v>22</v>
      </c>
      <c r="H234" s="10" t="s">
        <v>168</v>
      </c>
      <c r="I234" s="10" t="s">
        <v>23</v>
      </c>
      <c r="J234" s="12" t="s">
        <v>745</v>
      </c>
      <c r="K234" s="19" t="s">
        <v>22</v>
      </c>
      <c r="L234" s="10" t="s">
        <v>26</v>
      </c>
      <c r="M234" s="11">
        <f>D234+9</f>
        <v>45876</v>
      </c>
      <c r="N234" s="11">
        <f>M234+5</f>
        <v>45881</v>
      </c>
      <c r="O234" s="10" t="s">
        <v>39</v>
      </c>
      <c r="P234" s="10" t="s">
        <v>58</v>
      </c>
      <c r="Q234" s="10"/>
      <c r="R234" s="14">
        <v>5</v>
      </c>
    </row>
    <row r="235" spans="1:19" x14ac:dyDescent="0.25">
      <c r="A235" s="25">
        <v>23</v>
      </c>
      <c r="B235" s="9" t="s">
        <v>746</v>
      </c>
      <c r="C235" s="10" t="s">
        <v>19</v>
      </c>
      <c r="D235" s="11">
        <v>45867</v>
      </c>
      <c r="E235" s="11" t="s">
        <v>616</v>
      </c>
      <c r="F235" s="10" t="s">
        <v>455</v>
      </c>
      <c r="G235" s="10" t="s">
        <v>22</v>
      </c>
      <c r="H235" s="10" t="s">
        <v>676</v>
      </c>
      <c r="I235" s="10" t="s">
        <v>23</v>
      </c>
      <c r="J235" s="12" t="s">
        <v>747</v>
      </c>
      <c r="K235" s="19" t="s">
        <v>22</v>
      </c>
      <c r="L235" s="10" t="s">
        <v>44</v>
      </c>
      <c r="M235" s="11">
        <f>D235</f>
        <v>45867</v>
      </c>
      <c r="N235" s="11">
        <f>M235</f>
        <v>45867</v>
      </c>
      <c r="O235" s="10" t="s">
        <v>27</v>
      </c>
      <c r="P235" s="10" t="s">
        <v>58</v>
      </c>
      <c r="Q235" s="10"/>
      <c r="R235" s="14">
        <v>3</v>
      </c>
    </row>
    <row r="236" spans="1:19" x14ac:dyDescent="0.25">
      <c r="A236" s="25">
        <v>24</v>
      </c>
      <c r="B236" s="9" t="s">
        <v>748</v>
      </c>
      <c r="C236" s="10" t="s">
        <v>19</v>
      </c>
      <c r="D236" s="11">
        <v>45867</v>
      </c>
      <c r="E236" s="11" t="s">
        <v>616</v>
      </c>
      <c r="F236" s="10" t="s">
        <v>455</v>
      </c>
      <c r="G236" s="10" t="s">
        <v>22</v>
      </c>
      <c r="H236" s="10" t="s">
        <v>676</v>
      </c>
      <c r="I236" s="10" t="s">
        <v>23</v>
      </c>
      <c r="J236" s="12" t="s">
        <v>749</v>
      </c>
      <c r="K236" s="19" t="s">
        <v>22</v>
      </c>
      <c r="L236" s="10" t="s">
        <v>44</v>
      </c>
      <c r="M236" s="11">
        <f>D236</f>
        <v>45867</v>
      </c>
      <c r="N236" s="11">
        <f>M236</f>
        <v>45867</v>
      </c>
      <c r="O236" s="10" t="s">
        <v>27</v>
      </c>
      <c r="P236" s="10" t="s">
        <v>58</v>
      </c>
      <c r="Q236" s="10"/>
      <c r="R236" s="14">
        <v>2</v>
      </c>
    </row>
    <row r="237" spans="1:19" x14ac:dyDescent="0.25">
      <c r="A237" s="25">
        <v>25</v>
      </c>
      <c r="B237" s="9" t="s">
        <v>750</v>
      </c>
      <c r="C237" s="10" t="s">
        <v>19</v>
      </c>
      <c r="D237" s="11">
        <v>45862</v>
      </c>
      <c r="E237" s="10" t="s">
        <v>379</v>
      </c>
      <c r="F237" s="10" t="s">
        <v>42</v>
      </c>
      <c r="G237" s="10" t="s">
        <v>22</v>
      </c>
      <c r="H237" s="10" t="s">
        <v>751</v>
      </c>
      <c r="I237" s="10" t="s">
        <v>23</v>
      </c>
      <c r="J237" s="12" t="s">
        <v>752</v>
      </c>
      <c r="K237" s="19" t="s">
        <v>22</v>
      </c>
      <c r="L237" s="10" t="s">
        <v>117</v>
      </c>
      <c r="M237" s="11">
        <v>45868</v>
      </c>
      <c r="N237" s="11">
        <v>45868</v>
      </c>
      <c r="O237" s="10" t="s">
        <v>27</v>
      </c>
      <c r="P237" s="10" t="s">
        <v>65</v>
      </c>
      <c r="Q237" s="17" t="s">
        <v>753</v>
      </c>
      <c r="R237" s="14">
        <v>3</v>
      </c>
    </row>
    <row r="238" spans="1:19" x14ac:dyDescent="0.25">
      <c r="A238" s="25">
        <v>26</v>
      </c>
      <c r="B238" s="9" t="s">
        <v>754</v>
      </c>
      <c r="C238" s="10" t="s">
        <v>35</v>
      </c>
      <c r="D238" s="11">
        <v>45870</v>
      </c>
      <c r="E238" s="10" t="s">
        <v>588</v>
      </c>
      <c r="F238" s="10" t="s">
        <v>21</v>
      </c>
      <c r="G238" s="10" t="s">
        <v>22</v>
      </c>
      <c r="H238" s="10" t="s">
        <v>755</v>
      </c>
      <c r="I238" s="10" t="s">
        <v>23</v>
      </c>
      <c r="J238" s="12" t="s">
        <v>756</v>
      </c>
      <c r="K238" s="19" t="s">
        <v>22</v>
      </c>
      <c r="L238" s="10" t="s">
        <v>26</v>
      </c>
      <c r="M238" s="11">
        <f>D238</f>
        <v>45870</v>
      </c>
      <c r="N238" s="11">
        <f>M238</f>
        <v>45870</v>
      </c>
      <c r="O238" s="10" t="s">
        <v>27</v>
      </c>
      <c r="P238" s="10" t="s">
        <v>45</v>
      </c>
      <c r="Q238" s="10"/>
      <c r="R238" s="14">
        <v>1</v>
      </c>
      <c r="S238" s="24">
        <f>SUM(R213:R238)</f>
        <v>246</v>
      </c>
    </row>
    <row r="239" spans="1:19" x14ac:dyDescent="0.25">
      <c r="A239" s="21">
        <v>1</v>
      </c>
      <c r="B239" s="9" t="s">
        <v>757</v>
      </c>
      <c r="C239" s="10" t="s">
        <v>19</v>
      </c>
      <c r="D239" s="11">
        <v>45870</v>
      </c>
      <c r="E239" s="10" t="s">
        <v>758</v>
      </c>
      <c r="F239" s="10" t="s">
        <v>21</v>
      </c>
      <c r="G239" s="10" t="s">
        <v>22</v>
      </c>
      <c r="H239" s="10" t="s">
        <v>759</v>
      </c>
      <c r="I239" s="10" t="s">
        <v>50</v>
      </c>
      <c r="J239" s="12" t="s">
        <v>760</v>
      </c>
      <c r="K239" s="19" t="s">
        <v>22</v>
      </c>
      <c r="L239" s="10" t="s">
        <v>30</v>
      </c>
      <c r="M239" s="11">
        <f>D239+7</f>
        <v>45877</v>
      </c>
      <c r="N239" s="11"/>
      <c r="O239" s="10" t="s">
        <v>27</v>
      </c>
      <c r="P239" s="10" t="s">
        <v>38</v>
      </c>
      <c r="Q239" s="10"/>
      <c r="R239" s="14">
        <v>1</v>
      </c>
    </row>
    <row r="240" spans="1:19" x14ac:dyDescent="0.25">
      <c r="A240" s="21">
        <v>2</v>
      </c>
      <c r="B240" s="9" t="s">
        <v>761</v>
      </c>
      <c r="C240" s="10" t="s">
        <v>35</v>
      </c>
      <c r="D240" s="11">
        <v>45870</v>
      </c>
      <c r="E240" s="10" t="s">
        <v>588</v>
      </c>
      <c r="F240" s="10" t="s">
        <v>21</v>
      </c>
      <c r="G240" s="10" t="s">
        <v>22</v>
      </c>
      <c r="H240" s="10" t="s">
        <v>755</v>
      </c>
      <c r="I240" s="10" t="s">
        <v>23</v>
      </c>
      <c r="J240" s="12" t="s">
        <v>756</v>
      </c>
      <c r="K240" s="19" t="s">
        <v>22</v>
      </c>
      <c r="L240" s="10" t="s">
        <v>26</v>
      </c>
      <c r="M240" s="11">
        <f>D240</f>
        <v>45870</v>
      </c>
      <c r="N240" s="11">
        <f>M240</f>
        <v>45870</v>
      </c>
      <c r="O240" s="10" t="s">
        <v>27</v>
      </c>
      <c r="P240" s="10" t="s">
        <v>45</v>
      </c>
      <c r="Q240" s="10"/>
      <c r="R240" s="14">
        <v>1</v>
      </c>
    </row>
    <row r="241" spans="1:18" x14ac:dyDescent="0.25">
      <c r="A241" s="21">
        <v>3</v>
      </c>
      <c r="B241" s="9" t="s">
        <v>762</v>
      </c>
      <c r="C241" s="10" t="s">
        <v>35</v>
      </c>
      <c r="D241" s="11">
        <v>45870</v>
      </c>
      <c r="E241" s="10" t="s">
        <v>116</v>
      </c>
      <c r="F241" s="10" t="s">
        <v>21</v>
      </c>
      <c r="G241" s="10" t="s">
        <v>22</v>
      </c>
      <c r="H241" s="10" t="s">
        <v>763</v>
      </c>
      <c r="I241" s="10" t="s">
        <v>23</v>
      </c>
      <c r="J241" s="12" t="s">
        <v>764</v>
      </c>
      <c r="K241" s="19" t="s">
        <v>22</v>
      </c>
      <c r="L241" s="10" t="s">
        <v>111</v>
      </c>
      <c r="M241" s="11">
        <f>D241+5</f>
        <v>45875</v>
      </c>
      <c r="N241" s="11">
        <f>M241+7</f>
        <v>45882</v>
      </c>
      <c r="O241" s="10" t="s">
        <v>27</v>
      </c>
      <c r="P241" s="10" t="s">
        <v>28</v>
      </c>
      <c r="Q241" s="10"/>
      <c r="R241" s="14">
        <v>5</v>
      </c>
    </row>
    <row r="242" spans="1:18" x14ac:dyDescent="0.25">
      <c r="A242" s="21">
        <v>4</v>
      </c>
      <c r="B242" s="9" t="s">
        <v>765</v>
      </c>
      <c r="C242" s="10" t="s">
        <v>19</v>
      </c>
      <c r="D242" s="11">
        <v>45876</v>
      </c>
      <c r="E242" s="10" t="s">
        <v>379</v>
      </c>
      <c r="F242" s="10" t="s">
        <v>42</v>
      </c>
      <c r="G242" s="10" t="s">
        <v>22</v>
      </c>
      <c r="H242" s="10" t="s">
        <v>766</v>
      </c>
      <c r="I242" s="10" t="s">
        <v>23</v>
      </c>
      <c r="J242" s="12" t="s">
        <v>767</v>
      </c>
      <c r="K242" s="19" t="s">
        <v>22</v>
      </c>
      <c r="L242" s="10" t="s">
        <v>89</v>
      </c>
      <c r="M242" s="11">
        <f>D242+5</f>
        <v>45881</v>
      </c>
      <c r="N242" s="11">
        <f>M242+260</f>
        <v>46141</v>
      </c>
      <c r="O242" s="10" t="s">
        <v>39</v>
      </c>
      <c r="P242" s="10" t="s">
        <v>65</v>
      </c>
      <c r="Q242" s="10"/>
      <c r="R242" s="14">
        <v>8</v>
      </c>
    </row>
    <row r="243" spans="1:18" x14ac:dyDescent="0.25">
      <c r="A243" s="21">
        <v>5</v>
      </c>
      <c r="B243" s="9" t="s">
        <v>768</v>
      </c>
      <c r="C243" s="10" t="s">
        <v>19</v>
      </c>
      <c r="D243" s="11">
        <v>45876</v>
      </c>
      <c r="E243" s="10" t="s">
        <v>769</v>
      </c>
      <c r="F243" s="10" t="s">
        <v>42</v>
      </c>
      <c r="G243" s="10" t="s">
        <v>22</v>
      </c>
      <c r="H243" s="10" t="s">
        <v>770</v>
      </c>
      <c r="I243" s="10" t="s">
        <v>23</v>
      </c>
      <c r="J243" s="12" t="s">
        <v>771</v>
      </c>
      <c r="K243" s="19" t="s">
        <v>22</v>
      </c>
      <c r="L243" s="10" t="s">
        <v>26</v>
      </c>
      <c r="M243" s="11">
        <f t="shared" ref="M243" si="16">D243+5</f>
        <v>45881</v>
      </c>
      <c r="N243" s="11">
        <f t="shared" ref="N243:N251" si="17">M243</f>
        <v>45881</v>
      </c>
      <c r="O243" s="10" t="s">
        <v>27</v>
      </c>
      <c r="P243" s="10" t="s">
        <v>28</v>
      </c>
      <c r="Q243" s="10"/>
      <c r="R243" s="14">
        <v>2</v>
      </c>
    </row>
    <row r="244" spans="1:18" x14ac:dyDescent="0.25">
      <c r="A244" s="21">
        <v>6</v>
      </c>
      <c r="B244" s="9" t="s">
        <v>772</v>
      </c>
      <c r="C244" s="10" t="s">
        <v>19</v>
      </c>
      <c r="D244" s="11">
        <v>45876</v>
      </c>
      <c r="E244" s="10" t="s">
        <v>450</v>
      </c>
      <c r="F244" s="10" t="s">
        <v>42</v>
      </c>
      <c r="G244" s="10" t="s">
        <v>22</v>
      </c>
      <c r="H244" s="10" t="s">
        <v>451</v>
      </c>
      <c r="I244" s="10" t="s">
        <v>23</v>
      </c>
      <c r="J244" s="12" t="s">
        <v>773</v>
      </c>
      <c r="K244" s="19" t="s">
        <v>22</v>
      </c>
      <c r="L244" s="10" t="s">
        <v>26</v>
      </c>
      <c r="M244" s="11">
        <f>D244+1</f>
        <v>45877</v>
      </c>
      <c r="N244" s="11">
        <f t="shared" si="17"/>
        <v>45877</v>
      </c>
      <c r="O244" s="10" t="s">
        <v>27</v>
      </c>
      <c r="P244" s="10" t="s">
        <v>28</v>
      </c>
      <c r="Q244" s="10"/>
      <c r="R244" s="14">
        <v>1</v>
      </c>
    </row>
    <row r="245" spans="1:18" x14ac:dyDescent="0.25">
      <c r="A245" s="21">
        <v>7</v>
      </c>
      <c r="B245" s="9" t="s">
        <v>774</v>
      </c>
      <c r="C245" s="10" t="s">
        <v>19</v>
      </c>
      <c r="D245" s="11">
        <v>45877</v>
      </c>
      <c r="E245" s="10" t="s">
        <v>726</v>
      </c>
      <c r="F245" s="10" t="s">
        <v>42</v>
      </c>
      <c r="G245" s="10" t="s">
        <v>22</v>
      </c>
      <c r="H245" s="10" t="s">
        <v>775</v>
      </c>
      <c r="I245" s="10" t="s">
        <v>23</v>
      </c>
      <c r="J245" s="12" t="s">
        <v>776</v>
      </c>
      <c r="K245" s="19" t="s">
        <v>22</v>
      </c>
      <c r="L245" s="10" t="s">
        <v>89</v>
      </c>
      <c r="M245" s="11">
        <f>D245+4</f>
        <v>45881</v>
      </c>
      <c r="N245" s="11">
        <f t="shared" si="17"/>
        <v>45881</v>
      </c>
      <c r="O245" s="10" t="s">
        <v>27</v>
      </c>
      <c r="P245" s="10" t="s">
        <v>45</v>
      </c>
      <c r="Q245" s="10"/>
      <c r="R245" s="14">
        <v>2</v>
      </c>
    </row>
    <row r="246" spans="1:18" x14ac:dyDescent="0.25">
      <c r="A246" s="21">
        <v>8</v>
      </c>
      <c r="B246" s="9" t="s">
        <v>777</v>
      </c>
      <c r="C246" s="10" t="s">
        <v>49</v>
      </c>
      <c r="D246" s="11">
        <v>45876</v>
      </c>
      <c r="E246" s="10" t="s">
        <v>778</v>
      </c>
      <c r="F246" s="10" t="s">
        <v>21</v>
      </c>
      <c r="G246" s="10" t="s">
        <v>250</v>
      </c>
      <c r="H246" s="10" t="s">
        <v>22</v>
      </c>
      <c r="I246" s="10" t="s">
        <v>56</v>
      </c>
      <c r="J246" s="12" t="s">
        <v>779</v>
      </c>
      <c r="K246" s="19" t="s">
        <v>22</v>
      </c>
      <c r="L246" s="10" t="s">
        <v>108</v>
      </c>
      <c r="M246" s="11">
        <f>D246+7</f>
        <v>45883</v>
      </c>
      <c r="N246" s="11">
        <f t="shared" si="17"/>
        <v>45883</v>
      </c>
      <c r="O246" s="10" t="s">
        <v>27</v>
      </c>
      <c r="P246" s="10" t="s">
        <v>65</v>
      </c>
      <c r="Q246" s="10"/>
      <c r="R246" s="14">
        <v>1</v>
      </c>
    </row>
    <row r="247" spans="1:18" x14ac:dyDescent="0.25">
      <c r="A247" s="21">
        <v>9</v>
      </c>
      <c r="B247" s="9" t="s">
        <v>780</v>
      </c>
      <c r="C247" s="10" t="s">
        <v>19</v>
      </c>
      <c r="D247" s="11">
        <v>45877</v>
      </c>
      <c r="E247" s="10" t="s">
        <v>379</v>
      </c>
      <c r="F247" s="10" t="s">
        <v>42</v>
      </c>
      <c r="G247" s="10" t="s">
        <v>22</v>
      </c>
      <c r="H247" s="10" t="s">
        <v>781</v>
      </c>
      <c r="I247" s="10" t="s">
        <v>23</v>
      </c>
      <c r="J247" s="12" t="s">
        <v>782</v>
      </c>
      <c r="K247" s="19" t="s">
        <v>22</v>
      </c>
      <c r="L247" s="10" t="s">
        <v>114</v>
      </c>
      <c r="M247" s="11">
        <f>D247+5</f>
        <v>45882</v>
      </c>
      <c r="N247" s="11">
        <f t="shared" si="17"/>
        <v>45882</v>
      </c>
      <c r="O247" s="10" t="s">
        <v>27</v>
      </c>
      <c r="P247" s="10" t="s">
        <v>58</v>
      </c>
      <c r="Q247" s="10"/>
      <c r="R247" s="14">
        <v>1</v>
      </c>
    </row>
    <row r="248" spans="1:18" x14ac:dyDescent="0.25">
      <c r="A248" s="21">
        <v>10</v>
      </c>
      <c r="B248" s="9" t="s">
        <v>783</v>
      </c>
      <c r="C248" s="10" t="s">
        <v>19</v>
      </c>
      <c r="D248" s="11">
        <v>45880</v>
      </c>
      <c r="E248" s="10" t="s">
        <v>379</v>
      </c>
      <c r="F248" s="10" t="s">
        <v>42</v>
      </c>
      <c r="G248" s="10" t="s">
        <v>22</v>
      </c>
      <c r="H248" s="10" t="s">
        <v>781</v>
      </c>
      <c r="I248" s="10" t="s">
        <v>23</v>
      </c>
      <c r="J248" s="12" t="s">
        <v>782</v>
      </c>
      <c r="K248" s="19" t="s">
        <v>22</v>
      </c>
      <c r="L248" s="10" t="s">
        <v>26</v>
      </c>
      <c r="M248" s="11">
        <f>D248+2</f>
        <v>45882</v>
      </c>
      <c r="N248" s="11">
        <f t="shared" si="17"/>
        <v>45882</v>
      </c>
      <c r="O248" s="10" t="s">
        <v>27</v>
      </c>
      <c r="P248" s="10" t="s">
        <v>58</v>
      </c>
      <c r="Q248" s="10"/>
      <c r="R248" s="14">
        <v>1</v>
      </c>
    </row>
    <row r="249" spans="1:18" x14ac:dyDescent="0.25">
      <c r="A249" s="21">
        <v>11</v>
      </c>
      <c r="B249" s="9" t="s">
        <v>784</v>
      </c>
      <c r="C249" s="10" t="s">
        <v>19</v>
      </c>
      <c r="D249" s="11">
        <v>45884</v>
      </c>
      <c r="E249" s="10" t="s">
        <v>785</v>
      </c>
      <c r="F249" s="10" t="s">
        <v>42</v>
      </c>
      <c r="G249" s="10" t="s">
        <v>22</v>
      </c>
      <c r="H249" s="10" t="s">
        <v>786</v>
      </c>
      <c r="I249" s="10" t="s">
        <v>23</v>
      </c>
      <c r="J249" s="12" t="s">
        <v>787</v>
      </c>
      <c r="K249" s="19" t="s">
        <v>22</v>
      </c>
      <c r="L249" s="10" t="s">
        <v>26</v>
      </c>
      <c r="M249" s="11">
        <f>D249+3</f>
        <v>45887</v>
      </c>
      <c r="N249" s="11">
        <f t="shared" si="17"/>
        <v>45887</v>
      </c>
      <c r="O249" s="10" t="s">
        <v>27</v>
      </c>
      <c r="P249" s="10" t="s">
        <v>28</v>
      </c>
      <c r="Q249" s="10"/>
      <c r="R249" s="14">
        <v>1</v>
      </c>
    </row>
    <row r="250" spans="1:18" x14ac:dyDescent="0.25">
      <c r="A250" s="21">
        <v>12</v>
      </c>
      <c r="B250" s="9" t="s">
        <v>788</v>
      </c>
      <c r="C250" s="10" t="s">
        <v>19</v>
      </c>
      <c r="D250" s="11">
        <v>45884</v>
      </c>
      <c r="E250" s="10" t="s">
        <v>785</v>
      </c>
      <c r="F250" s="10" t="s">
        <v>42</v>
      </c>
      <c r="G250" s="10" t="s">
        <v>22</v>
      </c>
      <c r="H250" s="10"/>
      <c r="I250" s="10" t="s">
        <v>23</v>
      </c>
      <c r="J250" s="12" t="s">
        <v>789</v>
      </c>
      <c r="K250" s="19" t="s">
        <v>22</v>
      </c>
      <c r="L250" s="10" t="s">
        <v>26</v>
      </c>
      <c r="M250" s="11">
        <f>D250+3</f>
        <v>45887</v>
      </c>
      <c r="N250" s="11">
        <f t="shared" si="17"/>
        <v>45887</v>
      </c>
      <c r="O250" s="10" t="s">
        <v>27</v>
      </c>
      <c r="P250" s="10" t="s">
        <v>28</v>
      </c>
      <c r="Q250" s="10"/>
      <c r="R250" s="14">
        <v>1</v>
      </c>
    </row>
    <row r="251" spans="1:18" x14ac:dyDescent="0.25">
      <c r="A251" s="21">
        <v>13</v>
      </c>
      <c r="B251" s="9" t="s">
        <v>790</v>
      </c>
      <c r="C251" s="10" t="s">
        <v>49</v>
      </c>
      <c r="D251" s="11">
        <v>45887</v>
      </c>
      <c r="E251" s="10" t="s">
        <v>159</v>
      </c>
      <c r="F251" s="10" t="s">
        <v>21</v>
      </c>
      <c r="G251" s="10" t="s">
        <v>250</v>
      </c>
      <c r="H251" s="10" t="s">
        <v>262</v>
      </c>
      <c r="I251" s="10" t="s">
        <v>56</v>
      </c>
      <c r="J251" s="12" t="s">
        <v>791</v>
      </c>
      <c r="K251" s="19" t="s">
        <v>22</v>
      </c>
      <c r="L251" s="10" t="s">
        <v>89</v>
      </c>
      <c r="M251" s="11">
        <f>D251+7</f>
        <v>45894</v>
      </c>
      <c r="N251" s="11">
        <f t="shared" si="17"/>
        <v>45894</v>
      </c>
      <c r="O251" s="10" t="s">
        <v>27</v>
      </c>
      <c r="P251" s="10" t="s">
        <v>58</v>
      </c>
      <c r="Q251" s="10"/>
      <c r="R251" s="14">
        <v>1</v>
      </c>
    </row>
    <row r="252" spans="1:18" x14ac:dyDescent="0.25">
      <c r="A252" s="21">
        <v>14</v>
      </c>
      <c r="B252" s="9" t="s">
        <v>792</v>
      </c>
      <c r="C252" s="10" t="s">
        <v>19</v>
      </c>
      <c r="D252" s="11">
        <v>45888</v>
      </c>
      <c r="E252" s="10" t="s">
        <v>116</v>
      </c>
      <c r="F252" s="10" t="s">
        <v>21</v>
      </c>
      <c r="G252" s="10" t="s">
        <v>22</v>
      </c>
      <c r="H252" s="10" t="s">
        <v>793</v>
      </c>
      <c r="I252" s="10" t="s">
        <v>56</v>
      </c>
      <c r="J252" s="12" t="s">
        <v>794</v>
      </c>
      <c r="K252" s="19" t="s">
        <v>22</v>
      </c>
      <c r="L252" s="10" t="s">
        <v>26</v>
      </c>
      <c r="M252" s="11">
        <f>D252+1</f>
        <v>45889</v>
      </c>
      <c r="N252" s="11">
        <f>M252+2</f>
        <v>45891</v>
      </c>
      <c r="O252" s="10" t="s">
        <v>27</v>
      </c>
      <c r="P252" s="10" t="s">
        <v>58</v>
      </c>
      <c r="Q252" s="10"/>
      <c r="R252" s="14">
        <v>1</v>
      </c>
    </row>
    <row r="253" spans="1:18" x14ac:dyDescent="0.25">
      <c r="A253" s="21">
        <v>15</v>
      </c>
      <c r="B253" s="9" t="s">
        <v>795</v>
      </c>
      <c r="C253" s="10" t="s">
        <v>19</v>
      </c>
      <c r="D253" s="11">
        <v>45888</v>
      </c>
      <c r="E253" s="10" t="s">
        <v>379</v>
      </c>
      <c r="F253" s="10" t="s">
        <v>42</v>
      </c>
      <c r="G253" s="10" t="s">
        <v>22</v>
      </c>
      <c r="H253" s="10" t="s">
        <v>781</v>
      </c>
      <c r="I253" s="10" t="s">
        <v>23</v>
      </c>
      <c r="J253" s="12" t="s">
        <v>796</v>
      </c>
      <c r="K253" s="19" t="s">
        <v>22</v>
      </c>
      <c r="L253" s="10" t="s">
        <v>26</v>
      </c>
      <c r="M253" s="11">
        <f>D253+2</f>
        <v>45890</v>
      </c>
      <c r="N253" s="11">
        <f>M253</f>
        <v>45890</v>
      </c>
      <c r="O253" s="10" t="s">
        <v>27</v>
      </c>
      <c r="P253" s="10" t="s">
        <v>58</v>
      </c>
      <c r="Q253" s="10"/>
      <c r="R253" s="14">
        <v>1</v>
      </c>
    </row>
    <row r="254" spans="1:18" x14ac:dyDescent="0.25">
      <c r="A254" s="21">
        <v>16</v>
      </c>
      <c r="B254" s="9" t="s">
        <v>797</v>
      </c>
      <c r="C254" s="10" t="s">
        <v>35</v>
      </c>
      <c r="D254" s="11">
        <v>45888</v>
      </c>
      <c r="E254" s="10" t="s">
        <v>798</v>
      </c>
      <c r="F254" s="10" t="s">
        <v>21</v>
      </c>
      <c r="G254" s="10" t="s">
        <v>250</v>
      </c>
      <c r="H254" s="10" t="s">
        <v>799</v>
      </c>
      <c r="I254" s="10" t="s">
        <v>50</v>
      </c>
      <c r="J254" s="12" t="s">
        <v>800</v>
      </c>
      <c r="K254" s="19" t="s">
        <v>22</v>
      </c>
      <c r="L254" s="10" t="s">
        <v>26</v>
      </c>
      <c r="M254" s="11">
        <f>D254+14</f>
        <v>45902</v>
      </c>
      <c r="N254" s="11">
        <f>M254</f>
        <v>45902</v>
      </c>
      <c r="O254" s="10" t="s">
        <v>27</v>
      </c>
      <c r="P254" s="10" t="s">
        <v>58</v>
      </c>
      <c r="Q254" s="10"/>
      <c r="R254" s="14">
        <v>1</v>
      </c>
    </row>
    <row r="255" spans="1:18" x14ac:dyDescent="0.25">
      <c r="A255" s="21">
        <v>17</v>
      </c>
      <c r="B255" s="9" t="s">
        <v>801</v>
      </c>
      <c r="C255" s="10" t="s">
        <v>19</v>
      </c>
      <c r="D255" s="11">
        <v>45889</v>
      </c>
      <c r="E255" s="10" t="s">
        <v>802</v>
      </c>
      <c r="F255" s="10" t="s">
        <v>62</v>
      </c>
      <c r="G255" s="10" t="s">
        <v>22</v>
      </c>
      <c r="H255" s="10" t="s">
        <v>803</v>
      </c>
      <c r="I255" s="10" t="s">
        <v>23</v>
      </c>
      <c r="J255" s="12" t="s">
        <v>804</v>
      </c>
      <c r="K255" s="19" t="s">
        <v>22</v>
      </c>
      <c r="L255" s="10" t="s">
        <v>26</v>
      </c>
      <c r="M255" s="11">
        <f>D255+7</f>
        <v>45896</v>
      </c>
      <c r="N255" s="11">
        <f>M255</f>
        <v>45896</v>
      </c>
      <c r="O255" s="10" t="s">
        <v>27</v>
      </c>
      <c r="P255" s="10" t="s">
        <v>28</v>
      </c>
      <c r="Q255" s="10"/>
      <c r="R255" s="14">
        <v>1</v>
      </c>
    </row>
    <row r="256" spans="1:18" x14ac:dyDescent="0.25">
      <c r="A256" s="21">
        <v>18</v>
      </c>
      <c r="B256" s="9" t="s">
        <v>805</v>
      </c>
      <c r="C256" s="10" t="s">
        <v>19</v>
      </c>
      <c r="D256" s="11">
        <v>45890</v>
      </c>
      <c r="E256" s="10" t="s">
        <v>302</v>
      </c>
      <c r="F256" s="10" t="s">
        <v>110</v>
      </c>
      <c r="G256" s="10" t="s">
        <v>22</v>
      </c>
      <c r="H256" s="10" t="s">
        <v>676</v>
      </c>
      <c r="I256" s="10" t="s">
        <v>23</v>
      </c>
      <c r="J256" s="12" t="s">
        <v>806</v>
      </c>
      <c r="K256" s="19" t="s">
        <v>22</v>
      </c>
      <c r="L256" s="10" t="s">
        <v>44</v>
      </c>
      <c r="M256" s="11">
        <f>D256+7</f>
        <v>45897</v>
      </c>
      <c r="N256" s="11">
        <f>M256</f>
        <v>45897</v>
      </c>
      <c r="O256" s="10" t="s">
        <v>27</v>
      </c>
      <c r="P256" s="10" t="s">
        <v>58</v>
      </c>
      <c r="Q256" s="10"/>
      <c r="R256" s="14">
        <v>1</v>
      </c>
    </row>
    <row r="257" spans="1:19" x14ac:dyDescent="0.25">
      <c r="A257" s="21">
        <v>19</v>
      </c>
      <c r="B257" s="9" t="s">
        <v>807</v>
      </c>
      <c r="C257" s="10" t="s">
        <v>19</v>
      </c>
      <c r="D257" s="11">
        <v>45891</v>
      </c>
      <c r="E257" s="10" t="s">
        <v>808</v>
      </c>
      <c r="F257" s="10" t="s">
        <v>809</v>
      </c>
      <c r="G257" s="10" t="s">
        <v>22</v>
      </c>
      <c r="H257" s="10" t="s">
        <v>810</v>
      </c>
      <c r="I257" s="10" t="s">
        <v>23</v>
      </c>
      <c r="J257" s="12" t="s">
        <v>811</v>
      </c>
      <c r="K257" s="19" t="s">
        <v>22</v>
      </c>
      <c r="L257" s="10" t="s">
        <v>37</v>
      </c>
      <c r="M257" s="11">
        <f>D257+4</f>
        <v>45895</v>
      </c>
      <c r="N257" s="11">
        <f t="shared" ref="N257:N258" si="18">M257</f>
        <v>45895</v>
      </c>
      <c r="O257" s="10" t="s">
        <v>27</v>
      </c>
      <c r="P257" s="10" t="s">
        <v>58</v>
      </c>
      <c r="Q257" s="10"/>
      <c r="R257" s="14">
        <v>1</v>
      </c>
    </row>
    <row r="258" spans="1:19" x14ac:dyDescent="0.25">
      <c r="A258" s="21">
        <v>20</v>
      </c>
      <c r="B258" s="9" t="s">
        <v>812</v>
      </c>
      <c r="C258" s="10" t="s">
        <v>19</v>
      </c>
      <c r="D258" s="11">
        <v>45891</v>
      </c>
      <c r="E258" s="10" t="s">
        <v>588</v>
      </c>
      <c r="F258" s="10" t="s">
        <v>21</v>
      </c>
      <c r="G258" s="10" t="s">
        <v>22</v>
      </c>
      <c r="H258" s="10"/>
      <c r="I258" s="10" t="s">
        <v>23</v>
      </c>
      <c r="J258" s="12" t="s">
        <v>813</v>
      </c>
      <c r="K258" s="19" t="s">
        <v>22</v>
      </c>
      <c r="L258" s="10" t="s">
        <v>73</v>
      </c>
      <c r="M258" s="11"/>
      <c r="N258" s="11">
        <f t="shared" si="18"/>
        <v>0</v>
      </c>
      <c r="O258" s="10" t="s">
        <v>27</v>
      </c>
      <c r="P258" s="10" t="s">
        <v>28</v>
      </c>
      <c r="Q258" s="10"/>
      <c r="R258" s="14">
        <v>1</v>
      </c>
    </row>
    <row r="259" spans="1:19" x14ac:dyDescent="0.25">
      <c r="A259" s="21">
        <v>21</v>
      </c>
      <c r="B259" s="9" t="s">
        <v>814</v>
      </c>
      <c r="C259" s="10" t="s">
        <v>19</v>
      </c>
      <c r="D259" s="11">
        <v>45891</v>
      </c>
      <c r="E259" s="10" t="s">
        <v>379</v>
      </c>
      <c r="F259" s="10" t="s">
        <v>42</v>
      </c>
      <c r="G259" s="10" t="s">
        <v>22</v>
      </c>
      <c r="H259" s="10" t="s">
        <v>815</v>
      </c>
      <c r="I259" s="10" t="s">
        <v>23</v>
      </c>
      <c r="J259" s="12" t="s">
        <v>816</v>
      </c>
      <c r="K259" s="19" t="s">
        <v>22</v>
      </c>
      <c r="L259" s="10" t="s">
        <v>26</v>
      </c>
      <c r="M259" s="11">
        <f>D259+4</f>
        <v>45895</v>
      </c>
      <c r="N259" s="11">
        <f>M259</f>
        <v>45895</v>
      </c>
      <c r="O259" s="10" t="s">
        <v>27</v>
      </c>
      <c r="P259" s="10" t="s">
        <v>45</v>
      </c>
      <c r="Q259" s="10"/>
      <c r="R259" s="14">
        <v>2</v>
      </c>
    </row>
    <row r="260" spans="1:19" x14ac:dyDescent="0.25">
      <c r="A260" s="21">
        <v>22</v>
      </c>
      <c r="B260" s="9" t="s">
        <v>817</v>
      </c>
      <c r="C260" s="10" t="s">
        <v>49</v>
      </c>
      <c r="D260" s="11">
        <v>45894</v>
      </c>
      <c r="E260" s="10" t="s">
        <v>818</v>
      </c>
      <c r="F260" s="10" t="s">
        <v>110</v>
      </c>
      <c r="G260" s="10" t="s">
        <v>22</v>
      </c>
      <c r="H260" s="10" t="s">
        <v>819</v>
      </c>
      <c r="I260" s="10" t="s">
        <v>56</v>
      </c>
      <c r="J260" s="12" t="s">
        <v>820</v>
      </c>
      <c r="K260" s="19" t="s">
        <v>22</v>
      </c>
      <c r="L260" s="10" t="s">
        <v>108</v>
      </c>
      <c r="M260" s="11">
        <v>45894</v>
      </c>
      <c r="N260" s="11">
        <f t="shared" ref="N260:N261" si="19">M260</f>
        <v>45894</v>
      </c>
      <c r="O260" s="10" t="s">
        <v>27</v>
      </c>
      <c r="P260" s="10" t="s">
        <v>28</v>
      </c>
      <c r="Q260" s="10"/>
      <c r="R260" s="14">
        <v>7</v>
      </c>
    </row>
    <row r="261" spans="1:19" x14ac:dyDescent="0.25">
      <c r="A261" s="21">
        <v>23</v>
      </c>
      <c r="B261" s="9" t="s">
        <v>821</v>
      </c>
      <c r="C261" s="10" t="s">
        <v>19</v>
      </c>
      <c r="D261" s="11">
        <v>45894</v>
      </c>
      <c r="E261" s="10" t="s">
        <v>822</v>
      </c>
      <c r="F261" s="10" t="s">
        <v>42</v>
      </c>
      <c r="G261" s="10" t="s">
        <v>22</v>
      </c>
      <c r="H261" s="10"/>
      <c r="I261" s="10" t="s">
        <v>23</v>
      </c>
      <c r="J261" s="12" t="s">
        <v>823</v>
      </c>
      <c r="K261" s="19" t="s">
        <v>22</v>
      </c>
      <c r="L261" s="10" t="s">
        <v>26</v>
      </c>
      <c r="M261" s="11">
        <f>D261+4</f>
        <v>45898</v>
      </c>
      <c r="N261" s="11">
        <f t="shared" si="19"/>
        <v>45898</v>
      </c>
      <c r="O261" s="10" t="s">
        <v>27</v>
      </c>
      <c r="P261" s="10" t="s">
        <v>28</v>
      </c>
      <c r="Q261" s="10"/>
      <c r="R261" s="14">
        <v>1</v>
      </c>
    </row>
    <row r="262" spans="1:19" x14ac:dyDescent="0.25">
      <c r="A262" s="21">
        <v>24</v>
      </c>
      <c r="B262" s="9" t="s">
        <v>824</v>
      </c>
      <c r="C262" s="10" t="s">
        <v>19</v>
      </c>
      <c r="D262" s="11">
        <v>45895</v>
      </c>
      <c r="E262" s="10" t="s">
        <v>802</v>
      </c>
      <c r="F262" s="10" t="s">
        <v>62</v>
      </c>
      <c r="G262" s="10" t="s">
        <v>22</v>
      </c>
      <c r="H262" s="10"/>
      <c r="I262" s="10" t="s">
        <v>23</v>
      </c>
      <c r="J262" s="12" t="s">
        <v>825</v>
      </c>
      <c r="K262" s="19" t="s">
        <v>22</v>
      </c>
      <c r="L262" s="10" t="s">
        <v>26</v>
      </c>
      <c r="M262" s="11">
        <f t="shared" ref="M262" si="20">D262+4</f>
        <v>45899</v>
      </c>
      <c r="N262" s="11">
        <f>M262+4</f>
        <v>45903</v>
      </c>
      <c r="O262" s="10" t="s">
        <v>27</v>
      </c>
      <c r="P262" s="10" t="s">
        <v>28</v>
      </c>
      <c r="Q262" s="10"/>
      <c r="R262" s="14">
        <v>4</v>
      </c>
    </row>
    <row r="263" spans="1:19" x14ac:dyDescent="0.25">
      <c r="A263" s="21">
        <v>25</v>
      </c>
      <c r="B263" s="9" t="s">
        <v>826</v>
      </c>
      <c r="C263" s="10" t="s">
        <v>19</v>
      </c>
      <c r="D263" s="11">
        <v>45895</v>
      </c>
      <c r="E263" s="10" t="s">
        <v>827</v>
      </c>
      <c r="F263" s="10"/>
      <c r="G263" s="10" t="s">
        <v>22</v>
      </c>
      <c r="H263" s="10"/>
      <c r="I263" s="10" t="s">
        <v>23</v>
      </c>
      <c r="J263" s="12" t="s">
        <v>828</v>
      </c>
      <c r="K263" s="19" t="s">
        <v>22</v>
      </c>
      <c r="L263" s="10" t="s">
        <v>26</v>
      </c>
      <c r="M263" s="11">
        <f>D263+0</f>
        <v>45895</v>
      </c>
      <c r="N263" s="11">
        <f>M263</f>
        <v>45895</v>
      </c>
      <c r="O263" s="10" t="s">
        <v>39</v>
      </c>
      <c r="P263" s="10" t="s">
        <v>45</v>
      </c>
      <c r="Q263" s="10"/>
      <c r="R263" s="14">
        <v>4</v>
      </c>
    </row>
    <row r="264" spans="1:19" x14ac:dyDescent="0.25">
      <c r="A264" s="21">
        <v>26</v>
      </c>
      <c r="B264" s="9" t="s">
        <v>829</v>
      </c>
      <c r="C264" s="10" t="s">
        <v>49</v>
      </c>
      <c r="D264" s="11">
        <v>45895</v>
      </c>
      <c r="E264" s="10" t="s">
        <v>830</v>
      </c>
      <c r="F264" s="10" t="s">
        <v>86</v>
      </c>
      <c r="G264" s="10" t="s">
        <v>22</v>
      </c>
      <c r="H264" s="10" t="s">
        <v>22</v>
      </c>
      <c r="I264" s="10" t="s">
        <v>56</v>
      </c>
      <c r="J264" s="12" t="s">
        <v>831</v>
      </c>
      <c r="K264" s="19" t="s">
        <v>22</v>
      </c>
      <c r="L264" s="10" t="s">
        <v>108</v>
      </c>
      <c r="M264" s="11">
        <v>45895</v>
      </c>
      <c r="N264" s="11">
        <v>45895</v>
      </c>
      <c r="O264" s="10" t="s">
        <v>27</v>
      </c>
      <c r="P264" s="10" t="s">
        <v>28</v>
      </c>
      <c r="Q264" s="10"/>
      <c r="R264" s="14">
        <v>5</v>
      </c>
    </row>
    <row r="265" spans="1:19" x14ac:dyDescent="0.25">
      <c r="A265" s="21">
        <v>27</v>
      </c>
      <c r="B265" s="9" t="s">
        <v>832</v>
      </c>
      <c r="C265" s="10" t="s">
        <v>19</v>
      </c>
      <c r="D265" s="11">
        <v>45895</v>
      </c>
      <c r="E265" s="10" t="s">
        <v>705</v>
      </c>
      <c r="F265" s="10" t="s">
        <v>21</v>
      </c>
      <c r="G265" s="10" t="s">
        <v>22</v>
      </c>
      <c r="H265" s="10" t="s">
        <v>706</v>
      </c>
      <c r="I265" s="10" t="s">
        <v>56</v>
      </c>
      <c r="J265" s="12" t="s">
        <v>833</v>
      </c>
      <c r="K265" s="19" t="s">
        <v>22</v>
      </c>
      <c r="L265" s="10" t="s">
        <v>26</v>
      </c>
      <c r="M265" s="11">
        <f>D265+2</f>
        <v>45897</v>
      </c>
      <c r="N265" s="11">
        <f>M265+19</f>
        <v>45916</v>
      </c>
      <c r="O265" s="10" t="s">
        <v>27</v>
      </c>
      <c r="P265" s="10" t="s">
        <v>28</v>
      </c>
      <c r="Q265" s="10"/>
      <c r="R265" s="14">
        <v>1</v>
      </c>
    </row>
    <row r="266" spans="1:19" x14ac:dyDescent="0.25">
      <c r="A266" s="21">
        <v>28</v>
      </c>
      <c r="B266" s="9" t="s">
        <v>834</v>
      </c>
      <c r="C266" s="10" t="s">
        <v>49</v>
      </c>
      <c r="D266" s="11">
        <v>45895</v>
      </c>
      <c r="E266" s="10" t="s">
        <v>835</v>
      </c>
      <c r="F266" s="10" t="s">
        <v>55</v>
      </c>
      <c r="G266" s="10" t="s">
        <v>22</v>
      </c>
      <c r="H266" s="10" t="s">
        <v>22</v>
      </c>
      <c r="I266" s="10" t="s">
        <v>56</v>
      </c>
      <c r="J266" s="12" t="s">
        <v>836</v>
      </c>
      <c r="K266" s="19" t="s">
        <v>22</v>
      </c>
      <c r="L266" s="10" t="s">
        <v>108</v>
      </c>
      <c r="M266" s="11">
        <v>45903</v>
      </c>
      <c r="N266" s="11">
        <f>M266+9</f>
        <v>45912</v>
      </c>
      <c r="O266" s="10" t="s">
        <v>27</v>
      </c>
      <c r="P266" s="10" t="s">
        <v>58</v>
      </c>
      <c r="Q266" s="17" t="s">
        <v>837</v>
      </c>
      <c r="R266" s="14">
        <v>49</v>
      </c>
    </row>
    <row r="267" spans="1:19" x14ac:dyDescent="0.25">
      <c r="A267" s="21">
        <v>29</v>
      </c>
      <c r="B267" s="9" t="s">
        <v>838</v>
      </c>
      <c r="C267" s="10" t="s">
        <v>19</v>
      </c>
      <c r="D267" s="11">
        <v>45896</v>
      </c>
      <c r="E267" s="10" t="s">
        <v>839</v>
      </c>
      <c r="F267" s="10" t="s">
        <v>21</v>
      </c>
      <c r="G267" s="10" t="s">
        <v>22</v>
      </c>
      <c r="H267" s="10" t="s">
        <v>840</v>
      </c>
      <c r="I267" s="10" t="s">
        <v>56</v>
      </c>
      <c r="J267" s="12" t="s">
        <v>841</v>
      </c>
      <c r="K267" s="19" t="s">
        <v>22</v>
      </c>
      <c r="L267" s="10" t="s">
        <v>26</v>
      </c>
      <c r="M267" s="11">
        <f>D267+0</f>
        <v>45896</v>
      </c>
      <c r="N267" s="11">
        <f>M267</f>
        <v>45896</v>
      </c>
      <c r="O267" s="10" t="s">
        <v>27</v>
      </c>
      <c r="P267" s="10" t="s">
        <v>28</v>
      </c>
      <c r="R267" s="14">
        <v>1</v>
      </c>
    </row>
    <row r="268" spans="1:19" x14ac:dyDescent="0.25">
      <c r="A268" s="21">
        <v>30</v>
      </c>
      <c r="B268" s="9" t="s">
        <v>842</v>
      </c>
      <c r="C268" s="10" t="s">
        <v>19</v>
      </c>
      <c r="D268" s="11">
        <v>45896</v>
      </c>
      <c r="E268" s="10" t="s">
        <v>705</v>
      </c>
      <c r="F268" s="10" t="s">
        <v>21</v>
      </c>
      <c r="G268" s="10" t="s">
        <v>22</v>
      </c>
      <c r="H268" s="10"/>
      <c r="I268" s="10" t="s">
        <v>56</v>
      </c>
      <c r="J268" s="12" t="s">
        <v>843</v>
      </c>
      <c r="K268" s="19" t="s">
        <v>22</v>
      </c>
      <c r="L268" s="10" t="s">
        <v>56</v>
      </c>
      <c r="M268" s="11">
        <f>D268+7</f>
        <v>45903</v>
      </c>
      <c r="N268" s="11">
        <f>M268</f>
        <v>45903</v>
      </c>
      <c r="O268" s="10" t="s">
        <v>27</v>
      </c>
      <c r="P268" s="10" t="s">
        <v>28</v>
      </c>
      <c r="Q268" s="10"/>
      <c r="R268" s="14">
        <v>1</v>
      </c>
    </row>
    <row r="269" spans="1:19" x14ac:dyDescent="0.25">
      <c r="A269" s="21">
        <v>31</v>
      </c>
      <c r="B269" s="9" t="s">
        <v>844</v>
      </c>
      <c r="C269" s="10" t="s">
        <v>49</v>
      </c>
      <c r="D269" s="11">
        <v>45897</v>
      </c>
      <c r="E269" s="10" t="s">
        <v>474</v>
      </c>
      <c r="F269" s="10" t="s">
        <v>21</v>
      </c>
      <c r="G269" s="10" t="s">
        <v>22</v>
      </c>
      <c r="H269" s="10" t="s">
        <v>475</v>
      </c>
      <c r="I269" s="10" t="s">
        <v>50</v>
      </c>
      <c r="J269" s="12" t="s">
        <v>845</v>
      </c>
      <c r="K269" s="19" t="s">
        <v>22</v>
      </c>
      <c r="L269" s="10" t="s">
        <v>108</v>
      </c>
      <c r="M269" s="11">
        <v>45902</v>
      </c>
      <c r="N269" s="11">
        <v>45901</v>
      </c>
      <c r="O269" s="10" t="s">
        <v>39</v>
      </c>
      <c r="P269" s="10" t="s">
        <v>58</v>
      </c>
      <c r="Q269" s="17" t="s">
        <v>846</v>
      </c>
      <c r="R269" s="14">
        <v>21</v>
      </c>
    </row>
    <row r="270" spans="1:19" x14ac:dyDescent="0.25">
      <c r="A270" s="21">
        <v>32</v>
      </c>
      <c r="B270" s="9" t="s">
        <v>847</v>
      </c>
      <c r="C270" s="10" t="s">
        <v>19</v>
      </c>
      <c r="D270" s="11">
        <v>45896</v>
      </c>
      <c r="E270" s="10" t="s">
        <v>103</v>
      </c>
      <c r="F270" s="10" t="s">
        <v>21</v>
      </c>
      <c r="G270" s="10" t="s">
        <v>22</v>
      </c>
      <c r="H270" s="10" t="s">
        <v>848</v>
      </c>
      <c r="I270" s="10" t="s">
        <v>23</v>
      </c>
      <c r="J270" s="12" t="s">
        <v>589</v>
      </c>
      <c r="K270" s="19" t="s">
        <v>22</v>
      </c>
      <c r="L270" s="10" t="s">
        <v>89</v>
      </c>
      <c r="M270" s="11">
        <f>D270+5</f>
        <v>45901</v>
      </c>
      <c r="N270" s="11"/>
      <c r="O270" s="10" t="s">
        <v>27</v>
      </c>
      <c r="P270" s="10" t="s">
        <v>31</v>
      </c>
      <c r="Q270" s="10"/>
      <c r="R270" s="14">
        <v>2</v>
      </c>
    </row>
    <row r="271" spans="1:19" x14ac:dyDescent="0.25">
      <c r="A271" s="21">
        <v>33</v>
      </c>
      <c r="B271" s="9" t="s">
        <v>849</v>
      </c>
      <c r="C271" s="10" t="s">
        <v>49</v>
      </c>
      <c r="D271" s="11">
        <v>45896</v>
      </c>
      <c r="E271" s="10" t="s">
        <v>758</v>
      </c>
      <c r="F271" s="10" t="s">
        <v>21</v>
      </c>
      <c r="G271" s="10" t="s">
        <v>22</v>
      </c>
      <c r="H271" s="10" t="s">
        <v>50</v>
      </c>
      <c r="I271" s="10" t="s">
        <v>50</v>
      </c>
      <c r="J271" s="12" t="s">
        <v>850</v>
      </c>
      <c r="K271" s="19" t="s">
        <v>22</v>
      </c>
      <c r="L271" s="10" t="s">
        <v>108</v>
      </c>
      <c r="M271" s="11">
        <f>D271+10</f>
        <v>45906</v>
      </c>
      <c r="N271" s="11"/>
      <c r="O271" s="10" t="s">
        <v>27</v>
      </c>
      <c r="P271" s="10" t="s">
        <v>38</v>
      </c>
      <c r="Q271" s="10"/>
      <c r="R271" s="14">
        <v>2</v>
      </c>
      <c r="S271" s="24">
        <f>SUM(R239:R271)</f>
        <v>133</v>
      </c>
    </row>
    <row r="272" spans="1:19" x14ac:dyDescent="0.25">
      <c r="A272" s="25">
        <v>1</v>
      </c>
      <c r="B272" s="9" t="s">
        <v>851</v>
      </c>
      <c r="C272" s="10" t="s">
        <v>49</v>
      </c>
      <c r="D272" s="11">
        <v>45902</v>
      </c>
      <c r="E272" s="10" t="s">
        <v>588</v>
      </c>
      <c r="F272" s="10" t="s">
        <v>21</v>
      </c>
      <c r="G272" s="10" t="s">
        <v>22</v>
      </c>
      <c r="H272" s="10" t="s">
        <v>514</v>
      </c>
      <c r="I272" s="10" t="s">
        <v>23</v>
      </c>
      <c r="J272" s="12" t="s">
        <v>852</v>
      </c>
      <c r="K272" s="19" t="s">
        <v>22</v>
      </c>
      <c r="L272" s="10" t="s">
        <v>73</v>
      </c>
      <c r="M272" s="11">
        <f>D272+3</f>
        <v>45905</v>
      </c>
      <c r="N272" s="11">
        <f>M272</f>
        <v>45905</v>
      </c>
      <c r="O272" s="10" t="s">
        <v>27</v>
      </c>
      <c r="P272" s="10" t="s">
        <v>65</v>
      </c>
      <c r="Q272" s="10"/>
      <c r="R272" s="14">
        <v>8</v>
      </c>
    </row>
    <row r="273" spans="1:18" x14ac:dyDescent="0.25">
      <c r="A273" s="25">
        <v>2</v>
      </c>
      <c r="B273" s="9" t="s">
        <v>853</v>
      </c>
      <c r="C273" s="10" t="s">
        <v>35</v>
      </c>
      <c r="D273" s="11">
        <v>45901</v>
      </c>
      <c r="E273" s="10" t="s">
        <v>588</v>
      </c>
      <c r="F273" s="10" t="s">
        <v>21</v>
      </c>
      <c r="G273" s="10" t="s">
        <v>22</v>
      </c>
      <c r="H273" s="10" t="s">
        <v>854</v>
      </c>
      <c r="I273" s="10" t="s">
        <v>23</v>
      </c>
      <c r="J273" s="12" t="s">
        <v>855</v>
      </c>
      <c r="K273" s="19" t="s">
        <v>22</v>
      </c>
      <c r="L273" s="10" t="s">
        <v>83</v>
      </c>
      <c r="M273" s="11">
        <v>45904</v>
      </c>
      <c r="N273" s="11">
        <v>45904</v>
      </c>
      <c r="O273" s="10" t="s">
        <v>27</v>
      </c>
      <c r="P273" s="10" t="s">
        <v>28</v>
      </c>
      <c r="Q273" s="10"/>
      <c r="R273" s="14">
        <v>4</v>
      </c>
    </row>
    <row r="274" spans="1:18" x14ac:dyDescent="0.25">
      <c r="A274" s="25">
        <v>3</v>
      </c>
      <c r="B274" s="9" t="s">
        <v>856</v>
      </c>
      <c r="C274" s="10" t="s">
        <v>19</v>
      </c>
      <c r="D274" s="11">
        <v>45908</v>
      </c>
      <c r="E274" s="10" t="s">
        <v>314</v>
      </c>
      <c r="F274" s="10" t="s">
        <v>42</v>
      </c>
      <c r="G274" s="10" t="s">
        <v>22</v>
      </c>
      <c r="H274" s="10" t="s">
        <v>673</v>
      </c>
      <c r="I274" s="10" t="s">
        <v>23</v>
      </c>
      <c r="J274" s="12" t="s">
        <v>857</v>
      </c>
      <c r="K274" s="19" t="s">
        <v>22</v>
      </c>
      <c r="L274" s="10" t="s">
        <v>26</v>
      </c>
      <c r="M274" s="11">
        <f>D274+4</f>
        <v>45912</v>
      </c>
      <c r="N274" s="11">
        <f>M274+4</f>
        <v>45916</v>
      </c>
      <c r="O274" s="10" t="s">
        <v>27</v>
      </c>
      <c r="P274" s="10" t="s">
        <v>58</v>
      </c>
      <c r="Q274" s="10"/>
      <c r="R274" s="14">
        <v>2</v>
      </c>
    </row>
    <row r="275" spans="1:18" x14ac:dyDescent="0.25">
      <c r="A275" s="25">
        <v>4</v>
      </c>
      <c r="B275" s="9" t="s">
        <v>858</v>
      </c>
      <c r="C275" s="10" t="s">
        <v>19</v>
      </c>
      <c r="D275" s="11">
        <v>45915</v>
      </c>
      <c r="E275" s="10" t="s">
        <v>705</v>
      </c>
      <c r="F275" s="10" t="s">
        <v>21</v>
      </c>
      <c r="G275" s="10" t="s">
        <v>22</v>
      </c>
      <c r="H275" s="10" t="s">
        <v>859</v>
      </c>
      <c r="I275" s="10" t="s">
        <v>23</v>
      </c>
      <c r="J275" s="12" t="s">
        <v>860</v>
      </c>
      <c r="K275" s="19" t="s">
        <v>22</v>
      </c>
      <c r="L275" s="10" t="s">
        <v>26</v>
      </c>
      <c r="M275" s="11">
        <f>D275+4</f>
        <v>45919</v>
      </c>
      <c r="N275" s="11">
        <f>M275</f>
        <v>45919</v>
      </c>
      <c r="O275" s="10" t="s">
        <v>27</v>
      </c>
      <c r="P275" s="10" t="s">
        <v>28</v>
      </c>
      <c r="Q275" s="10"/>
      <c r="R275" s="14">
        <v>5</v>
      </c>
    </row>
    <row r="276" spans="1:18" x14ac:dyDescent="0.25">
      <c r="A276" s="25">
        <v>5</v>
      </c>
      <c r="B276" s="9" t="s">
        <v>861</v>
      </c>
      <c r="C276" s="10" t="s">
        <v>19</v>
      </c>
      <c r="D276" s="11">
        <v>45917</v>
      </c>
      <c r="E276" s="10" t="s">
        <v>306</v>
      </c>
      <c r="F276" s="10" t="s">
        <v>21</v>
      </c>
      <c r="G276" s="10" t="s">
        <v>22</v>
      </c>
      <c r="H276" s="10" t="s">
        <v>307</v>
      </c>
      <c r="I276" s="10" t="s">
        <v>23</v>
      </c>
      <c r="J276" s="12" t="s">
        <v>862</v>
      </c>
      <c r="K276" s="19" t="s">
        <v>22</v>
      </c>
      <c r="L276" s="10" t="s">
        <v>26</v>
      </c>
      <c r="M276" s="11">
        <f>D276+4</f>
        <v>45921</v>
      </c>
      <c r="N276" s="11">
        <f>M276</f>
        <v>45921</v>
      </c>
      <c r="O276" s="10" t="s">
        <v>27</v>
      </c>
      <c r="P276" s="10" t="s">
        <v>58</v>
      </c>
      <c r="Q276" s="10"/>
      <c r="R276" s="14">
        <v>1</v>
      </c>
    </row>
    <row r="277" spans="1:18" x14ac:dyDescent="0.25">
      <c r="A277" s="25">
        <v>6</v>
      </c>
      <c r="B277" s="9" t="s">
        <v>863</v>
      </c>
      <c r="C277" s="10" t="s">
        <v>35</v>
      </c>
      <c r="D277" s="11">
        <v>45924</v>
      </c>
      <c r="E277" s="10" t="s">
        <v>864</v>
      </c>
      <c r="F277" s="10" t="s">
        <v>21</v>
      </c>
      <c r="G277" s="10" t="s">
        <v>22</v>
      </c>
      <c r="H277" s="10" t="s">
        <v>371</v>
      </c>
      <c r="I277" s="10" t="s">
        <v>23</v>
      </c>
      <c r="J277" s="12" t="s">
        <v>865</v>
      </c>
      <c r="K277" s="19" t="s">
        <v>22</v>
      </c>
      <c r="L277" s="10" t="s">
        <v>73</v>
      </c>
      <c r="M277" s="11">
        <v>45924</v>
      </c>
      <c r="N277" s="11">
        <v>45924</v>
      </c>
      <c r="O277" s="10" t="s">
        <v>27</v>
      </c>
      <c r="P277" s="10" t="s">
        <v>45</v>
      </c>
      <c r="Q277" s="10"/>
      <c r="R277" s="14">
        <v>1</v>
      </c>
    </row>
    <row r="278" spans="1:18" x14ac:dyDescent="0.25">
      <c r="A278" s="25">
        <v>7</v>
      </c>
      <c r="B278" s="9" t="s">
        <v>866</v>
      </c>
      <c r="C278" s="10" t="s">
        <v>35</v>
      </c>
      <c r="D278" s="11">
        <v>45924</v>
      </c>
      <c r="E278" s="10" t="s">
        <v>867</v>
      </c>
      <c r="F278" s="10" t="s">
        <v>868</v>
      </c>
      <c r="G278" s="10" t="s">
        <v>22</v>
      </c>
      <c r="H278" s="10" t="s">
        <v>869</v>
      </c>
      <c r="I278" s="10" t="s">
        <v>56</v>
      </c>
      <c r="J278" s="12" t="s">
        <v>870</v>
      </c>
      <c r="K278" s="19" t="s">
        <v>22</v>
      </c>
      <c r="L278" s="10" t="s">
        <v>73</v>
      </c>
      <c r="M278" s="11">
        <v>45924</v>
      </c>
      <c r="N278" s="11">
        <v>45924</v>
      </c>
      <c r="O278" s="10" t="s">
        <v>27</v>
      </c>
      <c r="P278" s="10" t="s">
        <v>58</v>
      </c>
      <c r="Q278" s="10"/>
      <c r="R278" s="14">
        <v>2</v>
      </c>
    </row>
    <row r="279" spans="1:18" x14ac:dyDescent="0.25">
      <c r="A279" s="25">
        <v>8</v>
      </c>
      <c r="B279" s="9" t="s">
        <v>871</v>
      </c>
      <c r="C279" s="10" t="s">
        <v>35</v>
      </c>
      <c r="D279" s="11">
        <v>45918</v>
      </c>
      <c r="E279" s="10" t="s">
        <v>872</v>
      </c>
      <c r="F279" s="10" t="s">
        <v>21</v>
      </c>
      <c r="G279" s="10" t="s">
        <v>22</v>
      </c>
      <c r="H279" s="10" t="s">
        <v>873</v>
      </c>
      <c r="I279" s="10" t="s">
        <v>23</v>
      </c>
      <c r="J279" s="12" t="s">
        <v>874</v>
      </c>
      <c r="K279" s="19" t="s">
        <v>22</v>
      </c>
      <c r="L279" s="10" t="s">
        <v>73</v>
      </c>
      <c r="M279" s="11">
        <v>45918</v>
      </c>
      <c r="N279" s="11">
        <v>45918</v>
      </c>
      <c r="O279" s="10" t="s">
        <v>27</v>
      </c>
      <c r="P279" s="10" t="s">
        <v>45</v>
      </c>
      <c r="Q279" s="10"/>
      <c r="R279" s="14">
        <v>4</v>
      </c>
    </row>
    <row r="280" spans="1:18" x14ac:dyDescent="0.25">
      <c r="A280" s="25">
        <v>9</v>
      </c>
      <c r="B280" s="9" t="s">
        <v>875</v>
      </c>
      <c r="C280" s="10" t="s">
        <v>35</v>
      </c>
      <c r="D280" s="11">
        <v>45923</v>
      </c>
      <c r="E280" s="10" t="s">
        <v>588</v>
      </c>
      <c r="F280" s="10" t="s">
        <v>21</v>
      </c>
      <c r="G280" s="10" t="s">
        <v>22</v>
      </c>
      <c r="H280" s="10" t="s">
        <v>466</v>
      </c>
      <c r="I280" s="10" t="s">
        <v>23</v>
      </c>
      <c r="J280" s="12" t="s">
        <v>876</v>
      </c>
      <c r="K280" s="19" t="s">
        <v>22</v>
      </c>
      <c r="L280" s="10" t="s">
        <v>73</v>
      </c>
      <c r="M280" s="11">
        <v>45923</v>
      </c>
      <c r="N280" s="11">
        <v>45923</v>
      </c>
      <c r="O280" s="10" t="s">
        <v>27</v>
      </c>
      <c r="P280" s="10" t="s">
        <v>28</v>
      </c>
      <c r="Q280" s="10"/>
      <c r="R280" s="14">
        <v>5</v>
      </c>
    </row>
    <row r="281" spans="1:18" x14ac:dyDescent="0.25">
      <c r="A281" s="25">
        <v>10</v>
      </c>
      <c r="B281" s="9" t="s">
        <v>877</v>
      </c>
      <c r="C281" s="10" t="s">
        <v>35</v>
      </c>
      <c r="D281" s="11">
        <v>45905</v>
      </c>
      <c r="E281" s="10" t="s">
        <v>588</v>
      </c>
      <c r="F281" s="10" t="s">
        <v>21</v>
      </c>
      <c r="G281" s="10" t="s">
        <v>22</v>
      </c>
      <c r="H281" s="10" t="s">
        <v>878</v>
      </c>
      <c r="I281" s="10" t="s">
        <v>23</v>
      </c>
      <c r="J281" s="12" t="s">
        <v>879</v>
      </c>
      <c r="K281" s="19" t="s">
        <v>22</v>
      </c>
      <c r="L281" s="10" t="s">
        <v>73</v>
      </c>
      <c r="M281" s="11">
        <v>45905</v>
      </c>
      <c r="N281" s="11">
        <v>45905</v>
      </c>
      <c r="O281" s="10" t="s">
        <v>27</v>
      </c>
      <c r="P281" s="10" t="s">
        <v>65</v>
      </c>
      <c r="Q281" s="10"/>
      <c r="R281" s="14">
        <v>1</v>
      </c>
    </row>
    <row r="282" spans="1:18" x14ac:dyDescent="0.25">
      <c r="A282" s="25">
        <v>11</v>
      </c>
      <c r="B282" s="9" t="s">
        <v>880</v>
      </c>
      <c r="C282" s="10" t="s">
        <v>35</v>
      </c>
      <c r="D282" s="11">
        <v>45919</v>
      </c>
      <c r="E282" s="10" t="s">
        <v>220</v>
      </c>
      <c r="F282" s="10" t="s">
        <v>21</v>
      </c>
      <c r="G282" s="10" t="s">
        <v>22</v>
      </c>
      <c r="H282" s="10" t="s">
        <v>881</v>
      </c>
      <c r="I282" s="10" t="s">
        <v>23</v>
      </c>
      <c r="J282" s="12" t="s">
        <v>882</v>
      </c>
      <c r="K282" s="19" t="s">
        <v>22</v>
      </c>
      <c r="L282" s="10" t="s">
        <v>73</v>
      </c>
      <c r="M282" s="11">
        <v>45919</v>
      </c>
      <c r="N282" s="11">
        <v>45919</v>
      </c>
      <c r="O282" s="10" t="s">
        <v>27</v>
      </c>
      <c r="P282" s="10" t="s">
        <v>65</v>
      </c>
      <c r="Q282" s="10"/>
      <c r="R282" s="14">
        <v>2</v>
      </c>
    </row>
    <row r="283" spans="1:18" x14ac:dyDescent="0.25">
      <c r="A283" s="25">
        <v>12</v>
      </c>
      <c r="B283" s="9" t="s">
        <v>883</v>
      </c>
      <c r="C283" s="10" t="s">
        <v>35</v>
      </c>
      <c r="D283" s="11">
        <v>45909</v>
      </c>
      <c r="E283" s="10" t="s">
        <v>588</v>
      </c>
      <c r="F283" s="10" t="s">
        <v>21</v>
      </c>
      <c r="G283" s="10" t="s">
        <v>22</v>
      </c>
      <c r="H283" s="10" t="s">
        <v>563</v>
      </c>
      <c r="I283" s="10" t="s">
        <v>23</v>
      </c>
      <c r="J283" s="12" t="s">
        <v>884</v>
      </c>
      <c r="K283" s="19" t="s">
        <v>22</v>
      </c>
      <c r="L283" s="10" t="s">
        <v>73</v>
      </c>
      <c r="M283" s="11">
        <v>45909</v>
      </c>
      <c r="N283" s="11">
        <v>45909</v>
      </c>
      <c r="O283" s="10" t="s">
        <v>27</v>
      </c>
      <c r="P283" s="10" t="s">
        <v>65</v>
      </c>
      <c r="Q283" s="10"/>
      <c r="R283" s="14">
        <v>2</v>
      </c>
    </row>
    <row r="284" spans="1:18" x14ac:dyDescent="0.25">
      <c r="A284" s="25">
        <v>13</v>
      </c>
      <c r="B284" s="9" t="s">
        <v>885</v>
      </c>
      <c r="C284" s="10" t="s">
        <v>35</v>
      </c>
      <c r="D284" s="11">
        <v>45909</v>
      </c>
      <c r="E284" s="10" t="s">
        <v>220</v>
      </c>
      <c r="F284" s="10" t="s">
        <v>21</v>
      </c>
      <c r="G284" s="10" t="s">
        <v>22</v>
      </c>
      <c r="H284" s="10" t="s">
        <v>886</v>
      </c>
      <c r="I284" s="10" t="s">
        <v>23</v>
      </c>
      <c r="J284" s="12" t="s">
        <v>887</v>
      </c>
      <c r="K284" s="19" t="s">
        <v>22</v>
      </c>
      <c r="L284" s="10" t="s">
        <v>73</v>
      </c>
      <c r="M284" s="11">
        <v>45909</v>
      </c>
      <c r="N284" s="11">
        <v>45909</v>
      </c>
      <c r="O284" s="10" t="s">
        <v>27</v>
      </c>
      <c r="P284" s="10" t="s">
        <v>65</v>
      </c>
      <c r="Q284" s="10"/>
      <c r="R284" s="14">
        <v>3</v>
      </c>
    </row>
    <row r="285" spans="1:18" x14ac:dyDescent="0.25">
      <c r="A285" s="25">
        <v>14</v>
      </c>
      <c r="B285" s="9" t="s">
        <v>888</v>
      </c>
      <c r="C285" s="10" t="s">
        <v>35</v>
      </c>
      <c r="D285" s="11">
        <v>45903</v>
      </c>
      <c r="E285" s="10" t="s">
        <v>588</v>
      </c>
      <c r="F285" s="10" t="s">
        <v>21</v>
      </c>
      <c r="G285" s="10" t="s">
        <v>22</v>
      </c>
      <c r="H285" s="10" t="s">
        <v>427</v>
      </c>
      <c r="I285" s="10" t="s">
        <v>23</v>
      </c>
      <c r="J285" s="12" t="s">
        <v>889</v>
      </c>
      <c r="K285" s="19" t="s">
        <v>22</v>
      </c>
      <c r="L285" s="10" t="s">
        <v>73</v>
      </c>
      <c r="M285" s="11">
        <v>45903</v>
      </c>
      <c r="N285" s="11">
        <v>45903</v>
      </c>
      <c r="O285" s="10" t="s">
        <v>27</v>
      </c>
      <c r="P285" s="10" t="s">
        <v>65</v>
      </c>
      <c r="Q285" s="10"/>
      <c r="R285" s="14">
        <v>1</v>
      </c>
    </row>
    <row r="286" spans="1:18" x14ac:dyDescent="0.25">
      <c r="A286" s="25">
        <v>15</v>
      </c>
      <c r="B286" s="9" t="s">
        <v>890</v>
      </c>
      <c r="C286" s="10" t="s">
        <v>35</v>
      </c>
      <c r="D286" s="11">
        <v>45901</v>
      </c>
      <c r="E286" s="10" t="s">
        <v>245</v>
      </c>
      <c r="F286" s="10" t="s">
        <v>21</v>
      </c>
      <c r="G286" s="10" t="s">
        <v>22</v>
      </c>
      <c r="H286" s="10" t="s">
        <v>891</v>
      </c>
      <c r="I286" s="10" t="s">
        <v>23</v>
      </c>
      <c r="J286" s="12" t="s">
        <v>892</v>
      </c>
      <c r="K286" s="19" t="s">
        <v>22</v>
      </c>
      <c r="L286" s="10" t="s">
        <v>73</v>
      </c>
      <c r="M286" s="11">
        <v>45901</v>
      </c>
      <c r="N286" s="11">
        <v>45901</v>
      </c>
      <c r="O286" s="10" t="s">
        <v>27</v>
      </c>
      <c r="P286" s="10" t="s">
        <v>65</v>
      </c>
      <c r="Q286" s="10"/>
      <c r="R286" s="14">
        <v>1</v>
      </c>
    </row>
    <row r="287" spans="1:18" x14ac:dyDescent="0.25">
      <c r="A287" s="25">
        <v>16</v>
      </c>
      <c r="B287" s="9" t="s">
        <v>893</v>
      </c>
      <c r="C287" s="10" t="s">
        <v>35</v>
      </c>
      <c r="D287" s="11">
        <v>45901</v>
      </c>
      <c r="E287" s="10" t="s">
        <v>588</v>
      </c>
      <c r="F287" s="10" t="s">
        <v>21</v>
      </c>
      <c r="G287" s="10" t="s">
        <v>22</v>
      </c>
      <c r="H287" s="10" t="s">
        <v>371</v>
      </c>
      <c r="I287" s="10" t="s">
        <v>23</v>
      </c>
      <c r="J287" s="12" t="s">
        <v>894</v>
      </c>
      <c r="K287" s="19" t="s">
        <v>22</v>
      </c>
      <c r="L287" s="10" t="s">
        <v>73</v>
      </c>
      <c r="M287" s="11">
        <v>45901</v>
      </c>
      <c r="N287" s="11">
        <v>45901</v>
      </c>
      <c r="O287" s="10" t="s">
        <v>27</v>
      </c>
      <c r="P287" s="10" t="s">
        <v>65</v>
      </c>
      <c r="Q287" s="10"/>
      <c r="R287" s="14">
        <v>1</v>
      </c>
    </row>
    <row r="288" spans="1:18" x14ac:dyDescent="0.25">
      <c r="A288" s="25">
        <v>17</v>
      </c>
      <c r="B288" s="9" t="s">
        <v>895</v>
      </c>
      <c r="C288" s="10" t="s">
        <v>19</v>
      </c>
      <c r="D288" s="11">
        <v>45923</v>
      </c>
      <c r="E288" s="10" t="s">
        <v>802</v>
      </c>
      <c r="F288" s="10" t="s">
        <v>62</v>
      </c>
      <c r="G288" s="10" t="s">
        <v>22</v>
      </c>
      <c r="H288" s="10" t="s">
        <v>803</v>
      </c>
      <c r="I288" s="10" t="s">
        <v>63</v>
      </c>
      <c r="J288" s="12" t="s">
        <v>896</v>
      </c>
      <c r="K288" s="19" t="s">
        <v>22</v>
      </c>
      <c r="L288" s="10" t="s">
        <v>26</v>
      </c>
      <c r="M288" s="11">
        <f>D288+7</f>
        <v>45930</v>
      </c>
      <c r="N288" s="11">
        <f t="shared" ref="N288:N291" si="21">M288</f>
        <v>45930</v>
      </c>
      <c r="O288" s="10" t="s">
        <v>27</v>
      </c>
      <c r="P288" s="10" t="s">
        <v>45</v>
      </c>
      <c r="Q288" s="10"/>
      <c r="R288" s="14">
        <v>1</v>
      </c>
    </row>
    <row r="289" spans="1:19" x14ac:dyDescent="0.25">
      <c r="A289" s="25">
        <v>18</v>
      </c>
      <c r="B289" s="9" t="s">
        <v>897</v>
      </c>
      <c r="C289" s="10" t="s">
        <v>19</v>
      </c>
      <c r="D289" s="11">
        <v>45924</v>
      </c>
      <c r="E289" s="10" t="s">
        <v>898</v>
      </c>
      <c r="F289" s="10" t="s">
        <v>42</v>
      </c>
      <c r="G289" s="10" t="s">
        <v>22</v>
      </c>
      <c r="H289" s="10" t="s">
        <v>899</v>
      </c>
      <c r="I289" s="10" t="s">
        <v>23</v>
      </c>
      <c r="J289" s="12" t="s">
        <v>900</v>
      </c>
      <c r="K289" s="19" t="s">
        <v>22</v>
      </c>
      <c r="L289" s="10" t="s">
        <v>26</v>
      </c>
      <c r="M289" s="11">
        <f>D289+6</f>
        <v>45930</v>
      </c>
      <c r="N289" s="11">
        <f t="shared" si="21"/>
        <v>45930</v>
      </c>
      <c r="O289" s="10" t="s">
        <v>27</v>
      </c>
      <c r="P289" s="10" t="s">
        <v>28</v>
      </c>
      <c r="Q289" s="10"/>
      <c r="R289" s="14">
        <v>1</v>
      </c>
    </row>
    <row r="290" spans="1:19" x14ac:dyDescent="0.25">
      <c r="A290" s="25">
        <v>19</v>
      </c>
      <c r="B290" s="9" t="s">
        <v>901</v>
      </c>
      <c r="C290" s="10" t="s">
        <v>49</v>
      </c>
      <c r="D290" s="11">
        <v>45930</v>
      </c>
      <c r="E290" s="10" t="s">
        <v>159</v>
      </c>
      <c r="F290" s="10" t="s">
        <v>21</v>
      </c>
      <c r="G290" s="10" t="s">
        <v>22</v>
      </c>
      <c r="H290" s="10" t="s">
        <v>902</v>
      </c>
      <c r="I290" s="10" t="s">
        <v>56</v>
      </c>
      <c r="J290" s="12" t="s">
        <v>903</v>
      </c>
      <c r="K290" s="19" t="s">
        <v>22</v>
      </c>
      <c r="L290" s="10" t="s">
        <v>75</v>
      </c>
      <c r="M290" s="11">
        <f>D290+3</f>
        <v>45933</v>
      </c>
      <c r="N290" s="11">
        <f t="shared" si="21"/>
        <v>45933</v>
      </c>
      <c r="O290" s="10" t="s">
        <v>27</v>
      </c>
      <c r="P290" s="10" t="s">
        <v>28</v>
      </c>
      <c r="Q290" s="10"/>
      <c r="R290" s="14">
        <v>8</v>
      </c>
      <c r="S290" s="24">
        <f>SUM(R272:R290)</f>
        <v>53</v>
      </c>
    </row>
    <row r="291" spans="1:19" x14ac:dyDescent="0.25">
      <c r="A291" s="21">
        <v>1</v>
      </c>
      <c r="B291" s="9" t="s">
        <v>904</v>
      </c>
      <c r="C291" s="10" t="s">
        <v>19</v>
      </c>
      <c r="D291" s="11">
        <v>45938</v>
      </c>
      <c r="E291" s="10" t="s">
        <v>379</v>
      </c>
      <c r="F291" s="10" t="s">
        <v>905</v>
      </c>
      <c r="G291" s="10" t="s">
        <v>22</v>
      </c>
      <c r="H291" s="10" t="s">
        <v>906</v>
      </c>
      <c r="I291" s="10" t="s">
        <v>23</v>
      </c>
      <c r="J291" s="12" t="s">
        <v>907</v>
      </c>
      <c r="K291" s="19" t="s">
        <v>22</v>
      </c>
      <c r="L291" s="10" t="s">
        <v>95</v>
      </c>
      <c r="M291" s="11">
        <f>D291+3</f>
        <v>45941</v>
      </c>
      <c r="N291" s="11">
        <f t="shared" si="21"/>
        <v>45941</v>
      </c>
      <c r="O291" s="10" t="s">
        <v>27</v>
      </c>
      <c r="P291" s="10" t="s">
        <v>45</v>
      </c>
      <c r="Q291" s="10"/>
      <c r="R291" s="14">
        <v>3</v>
      </c>
    </row>
    <row r="292" spans="1:19" x14ac:dyDescent="0.25">
      <c r="A292" s="21">
        <v>2</v>
      </c>
      <c r="B292" s="9" t="s">
        <v>908</v>
      </c>
      <c r="C292" s="10" t="s">
        <v>19</v>
      </c>
      <c r="D292" s="11">
        <v>45932</v>
      </c>
      <c r="E292" s="10" t="s">
        <v>588</v>
      </c>
      <c r="F292" s="10" t="s">
        <v>21</v>
      </c>
      <c r="G292" s="10" t="s">
        <v>22</v>
      </c>
      <c r="H292" s="10" t="s">
        <v>521</v>
      </c>
      <c r="I292" s="10" t="s">
        <v>23</v>
      </c>
      <c r="J292" s="12" t="s">
        <v>909</v>
      </c>
      <c r="K292" s="19" t="s">
        <v>22</v>
      </c>
      <c r="L292" s="10" t="s">
        <v>89</v>
      </c>
      <c r="M292" s="11">
        <f>D292+1</f>
        <v>45933</v>
      </c>
      <c r="N292" s="11">
        <f>M292</f>
        <v>45933</v>
      </c>
      <c r="O292" s="10" t="s">
        <v>27</v>
      </c>
      <c r="P292" s="10" t="s">
        <v>58</v>
      </c>
      <c r="Q292" s="10"/>
      <c r="R292" s="14">
        <v>2</v>
      </c>
    </row>
    <row r="293" spans="1:19" x14ac:dyDescent="0.25">
      <c r="A293" s="21">
        <v>3</v>
      </c>
      <c r="B293" s="9" t="s">
        <v>910</v>
      </c>
      <c r="C293" s="10" t="s">
        <v>19</v>
      </c>
      <c r="D293" s="11">
        <v>45933</v>
      </c>
      <c r="E293" s="10" t="s">
        <v>588</v>
      </c>
      <c r="F293" s="10" t="s">
        <v>21</v>
      </c>
      <c r="G293" s="10" t="s">
        <v>22</v>
      </c>
      <c r="H293" s="10" t="s">
        <v>911</v>
      </c>
      <c r="I293" s="10" t="s">
        <v>23</v>
      </c>
      <c r="J293" s="12" t="s">
        <v>912</v>
      </c>
      <c r="K293" s="19" t="s">
        <v>22</v>
      </c>
      <c r="L293" s="10" t="s">
        <v>83</v>
      </c>
      <c r="M293" s="11">
        <v>45933</v>
      </c>
      <c r="N293" s="11">
        <v>45933</v>
      </c>
      <c r="O293" s="10" t="s">
        <v>27</v>
      </c>
      <c r="P293" s="10" t="s">
        <v>65</v>
      </c>
      <c r="Q293" s="10"/>
      <c r="R293" s="14">
        <v>1</v>
      </c>
    </row>
    <row r="294" spans="1:19" x14ac:dyDescent="0.25">
      <c r="A294" s="21">
        <v>4</v>
      </c>
      <c r="B294" s="9" t="s">
        <v>913</v>
      </c>
      <c r="C294" s="10" t="s">
        <v>49</v>
      </c>
      <c r="D294" s="11">
        <v>45897</v>
      </c>
      <c r="E294" s="10" t="s">
        <v>474</v>
      </c>
      <c r="F294" s="10" t="s">
        <v>21</v>
      </c>
      <c r="G294" s="10" t="s">
        <v>22</v>
      </c>
      <c r="H294" s="10" t="s">
        <v>475</v>
      </c>
      <c r="I294" s="10" t="s">
        <v>50</v>
      </c>
      <c r="J294" s="12" t="s">
        <v>845</v>
      </c>
      <c r="K294" s="19" t="s">
        <v>22</v>
      </c>
      <c r="L294" s="10" t="s">
        <v>108</v>
      </c>
      <c r="M294" s="11">
        <v>45902</v>
      </c>
      <c r="N294" s="11">
        <v>45901</v>
      </c>
      <c r="O294" s="10" t="s">
        <v>59</v>
      </c>
      <c r="P294" s="10" t="s">
        <v>65</v>
      </c>
      <c r="Q294" s="17" t="s">
        <v>846</v>
      </c>
      <c r="R294" s="14">
        <v>17</v>
      </c>
    </row>
    <row r="295" spans="1:19" x14ac:dyDescent="0.25">
      <c r="A295" s="21">
        <v>5</v>
      </c>
      <c r="B295" s="9" t="s">
        <v>914</v>
      </c>
      <c r="C295" s="10" t="s">
        <v>19</v>
      </c>
      <c r="D295" s="11">
        <v>45937</v>
      </c>
      <c r="E295" s="10" t="s">
        <v>597</v>
      </c>
      <c r="F295" s="10" t="s">
        <v>905</v>
      </c>
      <c r="G295" s="10" t="s">
        <v>22</v>
      </c>
      <c r="H295" s="10" t="s">
        <v>915</v>
      </c>
      <c r="I295" s="10" t="s">
        <v>23</v>
      </c>
      <c r="J295" s="12" t="s">
        <v>916</v>
      </c>
      <c r="K295" s="19" t="s">
        <v>22</v>
      </c>
      <c r="L295" s="10" t="s">
        <v>83</v>
      </c>
      <c r="M295" s="11">
        <v>45937</v>
      </c>
      <c r="N295" s="11">
        <f>M295</f>
        <v>45937</v>
      </c>
      <c r="O295" s="10" t="s">
        <v>27</v>
      </c>
      <c r="P295" s="10" t="s">
        <v>45</v>
      </c>
      <c r="Q295" s="10"/>
      <c r="R295" s="14">
        <v>1</v>
      </c>
    </row>
    <row r="296" spans="1:19" x14ac:dyDescent="0.25">
      <c r="A296" s="21">
        <v>6</v>
      </c>
      <c r="B296" s="9" t="s">
        <v>917</v>
      </c>
      <c r="C296" s="10" t="s">
        <v>19</v>
      </c>
      <c r="D296" s="11">
        <v>45937</v>
      </c>
      <c r="E296" s="10" t="s">
        <v>379</v>
      </c>
      <c r="F296" s="10" t="s">
        <v>905</v>
      </c>
      <c r="G296" s="10" t="s">
        <v>22</v>
      </c>
      <c r="H296" s="10" t="s">
        <v>751</v>
      </c>
      <c r="I296" s="10" t="s">
        <v>23</v>
      </c>
      <c r="J296" s="12" t="s">
        <v>918</v>
      </c>
      <c r="K296" s="19" t="s">
        <v>22</v>
      </c>
      <c r="L296" s="10" t="s">
        <v>26</v>
      </c>
      <c r="M296" s="11">
        <f>D296+6</f>
        <v>45943</v>
      </c>
      <c r="N296" s="11">
        <f t="shared" ref="N296:N314" si="22">M296</f>
        <v>45943</v>
      </c>
      <c r="O296" s="10" t="s">
        <v>39</v>
      </c>
      <c r="P296" s="10" t="s">
        <v>45</v>
      </c>
      <c r="Q296" s="10"/>
      <c r="R296" s="14">
        <v>2</v>
      </c>
    </row>
    <row r="297" spans="1:19" x14ac:dyDescent="0.25">
      <c r="A297" s="21">
        <v>7</v>
      </c>
      <c r="B297" s="9" t="s">
        <v>919</v>
      </c>
      <c r="C297" s="10" t="s">
        <v>19</v>
      </c>
      <c r="D297" s="11">
        <v>45938</v>
      </c>
      <c r="E297" s="10" t="s">
        <v>379</v>
      </c>
      <c r="F297" s="10" t="s">
        <v>905</v>
      </c>
      <c r="G297" s="10" t="s">
        <v>22</v>
      </c>
      <c r="H297" s="10" t="s">
        <v>323</v>
      </c>
      <c r="I297" s="10" t="s">
        <v>23</v>
      </c>
      <c r="J297" s="12" t="s">
        <v>920</v>
      </c>
      <c r="K297" s="19" t="s">
        <v>22</v>
      </c>
      <c r="L297" s="10" t="s">
        <v>26</v>
      </c>
      <c r="M297" s="11">
        <f>D297+6</f>
        <v>45944</v>
      </c>
      <c r="N297" s="11">
        <f t="shared" si="22"/>
        <v>45944</v>
      </c>
      <c r="O297" s="10" t="s">
        <v>27</v>
      </c>
      <c r="P297" s="10" t="s">
        <v>28</v>
      </c>
      <c r="Q297" s="10"/>
      <c r="R297" s="14">
        <v>1</v>
      </c>
    </row>
    <row r="298" spans="1:19" x14ac:dyDescent="0.25">
      <c r="A298" s="21">
        <v>8</v>
      </c>
      <c r="B298" s="9" t="s">
        <v>921</v>
      </c>
      <c r="C298" s="10" t="s">
        <v>35</v>
      </c>
      <c r="D298" s="11">
        <v>45940</v>
      </c>
      <c r="E298" s="10" t="s">
        <v>306</v>
      </c>
      <c r="F298" s="10" t="s">
        <v>905</v>
      </c>
      <c r="G298" s="10" t="s">
        <v>22</v>
      </c>
      <c r="H298" s="10" t="s">
        <v>307</v>
      </c>
      <c r="I298" s="10" t="s">
        <v>23</v>
      </c>
      <c r="J298" s="12" t="s">
        <v>922</v>
      </c>
      <c r="K298" s="19" t="s">
        <v>22</v>
      </c>
      <c r="L298" s="10" t="s">
        <v>73</v>
      </c>
      <c r="M298" s="11">
        <f>D298+6</f>
        <v>45946</v>
      </c>
      <c r="N298" s="11">
        <f t="shared" si="22"/>
        <v>45946</v>
      </c>
      <c r="O298" s="10" t="s">
        <v>27</v>
      </c>
      <c r="P298" s="10" t="s">
        <v>38</v>
      </c>
      <c r="Q298" s="10"/>
      <c r="R298" s="14">
        <v>1</v>
      </c>
    </row>
    <row r="299" spans="1:19" x14ac:dyDescent="0.25">
      <c r="A299" s="21">
        <v>9</v>
      </c>
      <c r="B299" s="9" t="s">
        <v>923</v>
      </c>
      <c r="C299" s="10" t="s">
        <v>35</v>
      </c>
      <c r="D299" s="11">
        <v>45943</v>
      </c>
      <c r="E299" s="10" t="s">
        <v>924</v>
      </c>
      <c r="F299" s="10" t="s">
        <v>21</v>
      </c>
      <c r="G299" s="10" t="s">
        <v>22</v>
      </c>
      <c r="H299" s="10" t="s">
        <v>925</v>
      </c>
      <c r="I299" s="10" t="s">
        <v>23</v>
      </c>
      <c r="J299" s="12" t="s">
        <v>926</v>
      </c>
      <c r="K299" s="19" t="s">
        <v>22</v>
      </c>
      <c r="L299" s="10" t="s">
        <v>73</v>
      </c>
      <c r="M299" s="11">
        <f>D299+2</f>
        <v>45945</v>
      </c>
      <c r="N299" s="11"/>
      <c r="O299" s="10" t="s">
        <v>27</v>
      </c>
      <c r="P299" s="10" t="s">
        <v>38</v>
      </c>
      <c r="Q299" s="10"/>
      <c r="R299" s="14">
        <v>1</v>
      </c>
    </row>
    <row r="300" spans="1:19" x14ac:dyDescent="0.25">
      <c r="A300" s="21">
        <v>10</v>
      </c>
      <c r="B300" s="9" t="s">
        <v>927</v>
      </c>
      <c r="C300" s="10" t="s">
        <v>49</v>
      </c>
      <c r="D300" s="11">
        <v>45943</v>
      </c>
      <c r="E300" s="10" t="s">
        <v>211</v>
      </c>
      <c r="F300" s="10" t="s">
        <v>21</v>
      </c>
      <c r="G300" s="10" t="s">
        <v>22</v>
      </c>
      <c r="H300" s="10" t="s">
        <v>928</v>
      </c>
      <c r="I300" s="10" t="s">
        <v>56</v>
      </c>
      <c r="J300" s="12" t="s">
        <v>929</v>
      </c>
      <c r="K300" s="19" t="s">
        <v>22</v>
      </c>
      <c r="L300" s="10" t="s">
        <v>108</v>
      </c>
      <c r="M300" s="11">
        <v>45944</v>
      </c>
      <c r="N300" s="11">
        <f t="shared" si="22"/>
        <v>45944</v>
      </c>
      <c r="O300" s="10" t="s">
        <v>39</v>
      </c>
      <c r="P300" s="10" t="s">
        <v>65</v>
      </c>
      <c r="Q300" s="10"/>
      <c r="R300" s="14">
        <v>7</v>
      </c>
    </row>
    <row r="301" spans="1:19" x14ac:dyDescent="0.25">
      <c r="A301" s="21">
        <v>11</v>
      </c>
      <c r="B301" s="9" t="s">
        <v>930</v>
      </c>
      <c r="C301" s="10" t="s">
        <v>35</v>
      </c>
      <c r="D301" s="11">
        <v>45945</v>
      </c>
      <c r="E301" s="10" t="s">
        <v>931</v>
      </c>
      <c r="F301" s="10" t="s">
        <v>21</v>
      </c>
      <c r="G301" s="10" t="s">
        <v>22</v>
      </c>
      <c r="H301" s="10" t="s">
        <v>353</v>
      </c>
      <c r="I301" s="10" t="s">
        <v>23</v>
      </c>
      <c r="J301" s="12" t="s">
        <v>932</v>
      </c>
      <c r="K301" s="19" t="s">
        <v>22</v>
      </c>
      <c r="L301" s="10" t="s">
        <v>83</v>
      </c>
      <c r="M301" s="11">
        <v>45945</v>
      </c>
      <c r="N301" s="11">
        <f t="shared" si="22"/>
        <v>45945</v>
      </c>
      <c r="O301" s="10" t="s">
        <v>27</v>
      </c>
      <c r="P301" s="10" t="s">
        <v>38</v>
      </c>
      <c r="Q301" s="10"/>
      <c r="R301" s="14">
        <v>2</v>
      </c>
    </row>
    <row r="302" spans="1:19" x14ac:dyDescent="0.25">
      <c r="A302" s="21">
        <v>12</v>
      </c>
      <c r="B302" s="9" t="s">
        <v>933</v>
      </c>
      <c r="C302" s="10" t="s">
        <v>19</v>
      </c>
      <c r="D302" s="11">
        <v>45945</v>
      </c>
      <c r="E302" s="10" t="s">
        <v>934</v>
      </c>
      <c r="F302" s="10" t="s">
        <v>935</v>
      </c>
      <c r="G302" s="10" t="s">
        <v>22</v>
      </c>
      <c r="H302" s="10" t="s">
        <v>936</v>
      </c>
      <c r="I302" s="10" t="s">
        <v>63</v>
      </c>
      <c r="J302" s="12" t="s">
        <v>937</v>
      </c>
      <c r="K302" s="19" t="s">
        <v>22</v>
      </c>
      <c r="L302" s="10" t="s">
        <v>26</v>
      </c>
      <c r="M302" s="11">
        <f>D302+0</f>
        <v>45945</v>
      </c>
      <c r="N302" s="11">
        <f t="shared" si="22"/>
        <v>45945</v>
      </c>
      <c r="O302" s="10" t="s">
        <v>27</v>
      </c>
      <c r="P302" s="10" t="s">
        <v>28</v>
      </c>
      <c r="Q302" s="10"/>
      <c r="R302" s="14">
        <v>8</v>
      </c>
    </row>
    <row r="303" spans="1:19" x14ac:dyDescent="0.25">
      <c r="A303" s="21">
        <v>13</v>
      </c>
      <c r="B303" s="9" t="s">
        <v>938</v>
      </c>
      <c r="C303" s="10" t="s">
        <v>19</v>
      </c>
      <c r="D303" s="11">
        <v>45944</v>
      </c>
      <c r="E303" s="10" t="s">
        <v>588</v>
      </c>
      <c r="F303" s="10" t="s">
        <v>21</v>
      </c>
      <c r="G303" s="10" t="s">
        <v>22</v>
      </c>
      <c r="H303" s="10" t="s">
        <v>208</v>
      </c>
      <c r="I303" s="10" t="s">
        <v>23</v>
      </c>
      <c r="J303" s="12" t="s">
        <v>939</v>
      </c>
      <c r="K303" s="19" t="s">
        <v>22</v>
      </c>
      <c r="L303" s="10" t="s">
        <v>108</v>
      </c>
      <c r="M303" s="11">
        <v>45951</v>
      </c>
      <c r="N303" s="11">
        <f t="shared" si="22"/>
        <v>45951</v>
      </c>
      <c r="O303" s="10" t="s">
        <v>46</v>
      </c>
      <c r="P303" s="10" t="s">
        <v>28</v>
      </c>
      <c r="Q303" s="10"/>
      <c r="R303" s="14">
        <v>4</v>
      </c>
    </row>
    <row r="304" spans="1:19" x14ac:dyDescent="0.25">
      <c r="A304" s="21">
        <v>14</v>
      </c>
      <c r="B304" s="9" t="s">
        <v>940</v>
      </c>
      <c r="C304" s="10" t="s">
        <v>19</v>
      </c>
      <c r="D304" s="11">
        <v>45947</v>
      </c>
      <c r="E304" s="10" t="s">
        <v>941</v>
      </c>
      <c r="F304" s="10" t="s">
        <v>21</v>
      </c>
      <c r="G304" s="10" t="s">
        <v>22</v>
      </c>
      <c r="H304" s="10" t="s">
        <v>942</v>
      </c>
      <c r="I304" s="10" t="s">
        <v>23</v>
      </c>
      <c r="J304" s="12" t="s">
        <v>943</v>
      </c>
      <c r="K304" s="19" t="s">
        <v>22</v>
      </c>
      <c r="L304" s="10" t="s">
        <v>26</v>
      </c>
      <c r="M304" s="11">
        <f>D304+0</f>
        <v>45947</v>
      </c>
      <c r="N304" s="11">
        <f t="shared" si="22"/>
        <v>45947</v>
      </c>
      <c r="O304" s="10" t="s">
        <v>27</v>
      </c>
      <c r="P304" s="10" t="s">
        <v>58</v>
      </c>
      <c r="Q304" s="10"/>
      <c r="R304" s="14">
        <v>4</v>
      </c>
    </row>
    <row r="305" spans="1:19" x14ac:dyDescent="0.25">
      <c r="A305" s="21">
        <v>15</v>
      </c>
      <c r="B305" s="9" t="s">
        <v>944</v>
      </c>
      <c r="C305" s="10" t="s">
        <v>19</v>
      </c>
      <c r="D305" s="11">
        <v>45952</v>
      </c>
      <c r="E305" s="10" t="s">
        <v>945</v>
      </c>
      <c r="F305" s="10" t="s">
        <v>21</v>
      </c>
      <c r="G305" s="10" t="s">
        <v>22</v>
      </c>
      <c r="H305" s="10" t="s">
        <v>946</v>
      </c>
      <c r="I305" s="10" t="s">
        <v>23</v>
      </c>
      <c r="J305" s="12" t="s">
        <v>947</v>
      </c>
      <c r="K305" s="19" t="s">
        <v>22</v>
      </c>
      <c r="L305" s="10" t="s">
        <v>26</v>
      </c>
      <c r="M305" s="11">
        <f>D305+0</f>
        <v>45952</v>
      </c>
      <c r="N305" s="11">
        <f t="shared" si="22"/>
        <v>45952</v>
      </c>
      <c r="O305" s="10" t="s">
        <v>27</v>
      </c>
      <c r="P305" s="10" t="s">
        <v>58</v>
      </c>
      <c r="Q305" s="10"/>
      <c r="R305" s="14">
        <v>1</v>
      </c>
    </row>
    <row r="306" spans="1:19" x14ac:dyDescent="0.25">
      <c r="A306" s="21">
        <v>16</v>
      </c>
      <c r="B306" s="9" t="s">
        <v>948</v>
      </c>
      <c r="C306" s="10" t="s">
        <v>49</v>
      </c>
      <c r="D306" s="11">
        <v>45952</v>
      </c>
      <c r="E306" s="10" t="s">
        <v>949</v>
      </c>
      <c r="F306" s="10" t="s">
        <v>21</v>
      </c>
      <c r="G306" s="10" t="s">
        <v>22</v>
      </c>
      <c r="H306" s="10" t="s">
        <v>950</v>
      </c>
      <c r="I306" s="10" t="s">
        <v>56</v>
      </c>
      <c r="J306" s="12" t="s">
        <v>951</v>
      </c>
      <c r="K306" s="19" t="s">
        <v>22</v>
      </c>
      <c r="L306" s="10" t="s">
        <v>108</v>
      </c>
      <c r="M306" s="11">
        <v>45953</v>
      </c>
      <c r="N306" s="11">
        <f t="shared" si="22"/>
        <v>45953</v>
      </c>
      <c r="O306" s="10" t="s">
        <v>27</v>
      </c>
      <c r="P306" s="10" t="s">
        <v>28</v>
      </c>
      <c r="Q306" s="10"/>
      <c r="R306" s="14">
        <v>17</v>
      </c>
    </row>
    <row r="307" spans="1:19" x14ac:dyDescent="0.25">
      <c r="A307" s="21">
        <v>17</v>
      </c>
      <c r="B307" s="9" t="s">
        <v>952</v>
      </c>
      <c r="C307" s="10" t="s">
        <v>49</v>
      </c>
      <c r="D307" s="11">
        <v>45954</v>
      </c>
      <c r="E307" s="10" t="s">
        <v>953</v>
      </c>
      <c r="F307" s="10" t="s">
        <v>868</v>
      </c>
      <c r="G307" s="10" t="s">
        <v>22</v>
      </c>
      <c r="H307" s="10" t="s">
        <v>954</v>
      </c>
      <c r="I307" s="10" t="s">
        <v>56</v>
      </c>
      <c r="J307" s="12" t="s">
        <v>955</v>
      </c>
      <c r="K307" s="19" t="s">
        <v>22</v>
      </c>
      <c r="L307" s="10" t="s">
        <v>108</v>
      </c>
      <c r="M307" s="11">
        <v>45954</v>
      </c>
      <c r="N307" s="11">
        <f t="shared" si="22"/>
        <v>45954</v>
      </c>
      <c r="O307" s="10" t="s">
        <v>27</v>
      </c>
      <c r="P307" s="10" t="s">
        <v>28</v>
      </c>
      <c r="Q307" s="10"/>
      <c r="R307" s="14">
        <v>4</v>
      </c>
    </row>
    <row r="308" spans="1:19" x14ac:dyDescent="0.25">
      <c r="A308" s="21">
        <v>18</v>
      </c>
      <c r="B308" s="9" t="s">
        <v>956</v>
      </c>
      <c r="C308" s="10" t="s">
        <v>19</v>
      </c>
      <c r="D308" s="11">
        <v>45954</v>
      </c>
      <c r="E308" s="10" t="s">
        <v>957</v>
      </c>
      <c r="F308" s="10" t="s">
        <v>86</v>
      </c>
      <c r="G308" s="10" t="s">
        <v>22</v>
      </c>
      <c r="H308" s="10" t="s">
        <v>958</v>
      </c>
      <c r="I308" s="10" t="s">
        <v>63</v>
      </c>
      <c r="J308" s="12" t="s">
        <v>959</v>
      </c>
      <c r="K308" s="19" t="s">
        <v>22</v>
      </c>
      <c r="L308" s="10" t="s">
        <v>26</v>
      </c>
      <c r="M308" s="11">
        <f>D308+5</f>
        <v>45959</v>
      </c>
      <c r="N308" s="11">
        <f t="shared" si="22"/>
        <v>45959</v>
      </c>
      <c r="O308" s="10" t="s">
        <v>27</v>
      </c>
      <c r="P308" s="10" t="s">
        <v>58</v>
      </c>
      <c r="Q308" s="10"/>
      <c r="R308" s="14">
        <v>4</v>
      </c>
    </row>
    <row r="309" spans="1:19" x14ac:dyDescent="0.25">
      <c r="A309" s="21">
        <v>19</v>
      </c>
      <c r="B309" s="9" t="s">
        <v>960</v>
      </c>
      <c r="C309" s="10" t="s">
        <v>49</v>
      </c>
      <c r="D309" s="11">
        <v>45958</v>
      </c>
      <c r="E309" s="10" t="s">
        <v>211</v>
      </c>
      <c r="F309" s="10" t="s">
        <v>21</v>
      </c>
      <c r="G309" s="10" t="s">
        <v>22</v>
      </c>
      <c r="H309" s="10" t="s">
        <v>443</v>
      </c>
      <c r="I309" s="10" t="s">
        <v>56</v>
      </c>
      <c r="J309" s="12" t="s">
        <v>961</v>
      </c>
      <c r="K309" s="19" t="s">
        <v>22</v>
      </c>
      <c r="L309" s="10" t="s">
        <v>108</v>
      </c>
      <c r="M309" s="11">
        <v>45959</v>
      </c>
      <c r="N309" s="11">
        <f t="shared" si="22"/>
        <v>45959</v>
      </c>
      <c r="O309" s="10" t="s">
        <v>27</v>
      </c>
      <c r="P309" s="10" t="s">
        <v>28</v>
      </c>
      <c r="Q309" s="10"/>
      <c r="R309" s="14">
        <v>4</v>
      </c>
      <c r="S309" s="24">
        <f>SUM(R291:R309)</f>
        <v>84</v>
      </c>
    </row>
    <row r="310" spans="1:19" x14ac:dyDescent="0.25">
      <c r="A310" s="25">
        <v>1</v>
      </c>
      <c r="B310" s="9" t="s">
        <v>962</v>
      </c>
      <c r="C310" s="10" t="s">
        <v>49</v>
      </c>
      <c r="D310" s="11">
        <v>45964</v>
      </c>
      <c r="E310" s="10" t="s">
        <v>963</v>
      </c>
      <c r="F310" s="10" t="s">
        <v>964</v>
      </c>
      <c r="G310" s="10" t="s">
        <v>22</v>
      </c>
      <c r="H310" s="10" t="s">
        <v>965</v>
      </c>
      <c r="I310" s="10" t="s">
        <v>56</v>
      </c>
      <c r="J310" s="12" t="s">
        <v>966</v>
      </c>
      <c r="K310" s="19" t="s">
        <v>22</v>
      </c>
      <c r="L310" s="10" t="s">
        <v>108</v>
      </c>
      <c r="M310" s="11">
        <v>45964</v>
      </c>
      <c r="N310" s="11">
        <f t="shared" si="22"/>
        <v>45964</v>
      </c>
      <c r="O310" s="10" t="s">
        <v>27</v>
      </c>
      <c r="P310" s="10" t="s">
        <v>65</v>
      </c>
      <c r="Q310" s="10"/>
      <c r="R310" s="14">
        <v>3</v>
      </c>
    </row>
    <row r="311" spans="1:19" x14ac:dyDescent="0.25">
      <c r="A311" s="25">
        <v>2</v>
      </c>
      <c r="B311" s="9" t="s">
        <v>967</v>
      </c>
      <c r="C311" s="10" t="s">
        <v>19</v>
      </c>
      <c r="D311" s="11">
        <v>45964</v>
      </c>
      <c r="E311" s="10" t="s">
        <v>705</v>
      </c>
      <c r="F311" s="10" t="s">
        <v>21</v>
      </c>
      <c r="G311" s="10" t="s">
        <v>22</v>
      </c>
      <c r="H311" s="10" t="s">
        <v>968</v>
      </c>
      <c r="I311" s="10" t="s">
        <v>23</v>
      </c>
      <c r="J311" s="12" t="s">
        <v>969</v>
      </c>
      <c r="K311" s="19" t="s">
        <v>22</v>
      </c>
      <c r="L311" s="10" t="s">
        <v>26</v>
      </c>
      <c r="M311" s="11">
        <v>45964</v>
      </c>
      <c r="N311" s="11">
        <f t="shared" si="22"/>
        <v>45964</v>
      </c>
      <c r="O311" s="10" t="s">
        <v>27</v>
      </c>
      <c r="P311" s="10" t="s">
        <v>28</v>
      </c>
      <c r="Q311" s="10"/>
      <c r="R311" s="14">
        <v>1</v>
      </c>
    </row>
    <row r="312" spans="1:19" x14ac:dyDescent="0.25">
      <c r="A312" s="25">
        <v>3</v>
      </c>
      <c r="B312" s="9" t="s">
        <v>970</v>
      </c>
      <c r="C312" s="10" t="s">
        <v>49</v>
      </c>
      <c r="D312" s="11">
        <v>45964</v>
      </c>
      <c r="E312" s="10" t="s">
        <v>159</v>
      </c>
      <c r="F312" s="10" t="s">
        <v>21</v>
      </c>
      <c r="G312" s="10" t="s">
        <v>22</v>
      </c>
      <c r="H312" s="10" t="s">
        <v>262</v>
      </c>
      <c r="I312" s="10" t="s">
        <v>56</v>
      </c>
      <c r="J312" s="12" t="s">
        <v>971</v>
      </c>
      <c r="K312" s="19" t="s">
        <v>22</v>
      </c>
      <c r="L312" s="10" t="s">
        <v>108</v>
      </c>
      <c r="M312" s="11">
        <v>45964</v>
      </c>
      <c r="N312" s="11">
        <f t="shared" si="22"/>
        <v>45964</v>
      </c>
      <c r="O312" s="10" t="s">
        <v>27</v>
      </c>
      <c r="P312" s="10" t="s">
        <v>65</v>
      </c>
      <c r="Q312" s="10"/>
      <c r="R312" s="14">
        <v>12</v>
      </c>
    </row>
    <row r="313" spans="1:19" x14ac:dyDescent="0.25">
      <c r="A313" s="25">
        <v>4</v>
      </c>
      <c r="B313" s="9" t="s">
        <v>972</v>
      </c>
      <c r="C313" s="10" t="s">
        <v>49</v>
      </c>
      <c r="D313" s="11">
        <v>45966</v>
      </c>
      <c r="E313" s="10" t="s">
        <v>973</v>
      </c>
      <c r="F313" s="10" t="s">
        <v>974</v>
      </c>
      <c r="G313" s="10" t="s">
        <v>22</v>
      </c>
      <c r="H313" s="10" t="s">
        <v>975</v>
      </c>
      <c r="I313" s="10" t="s">
        <v>56</v>
      </c>
      <c r="J313" s="12" t="s">
        <v>976</v>
      </c>
      <c r="K313" s="19" t="s">
        <v>22</v>
      </c>
      <c r="L313" s="10" t="s">
        <v>108</v>
      </c>
      <c r="M313" s="11">
        <v>45966</v>
      </c>
      <c r="N313" s="11">
        <f t="shared" si="22"/>
        <v>45966</v>
      </c>
      <c r="O313" s="10" t="s">
        <v>27</v>
      </c>
      <c r="P313" s="10" t="s">
        <v>28</v>
      </c>
      <c r="Q313" s="10"/>
      <c r="R313" s="14">
        <v>5</v>
      </c>
    </row>
    <row r="314" spans="1:19" x14ac:dyDescent="0.25">
      <c r="A314" s="25">
        <v>5</v>
      </c>
      <c r="B314" s="9" t="s">
        <v>977</v>
      </c>
      <c r="C314" s="10" t="s">
        <v>49</v>
      </c>
      <c r="D314" s="11">
        <v>45967</v>
      </c>
      <c r="E314" s="10" t="s">
        <v>978</v>
      </c>
      <c r="F314" s="10" t="s">
        <v>21</v>
      </c>
      <c r="G314" s="10">
        <v>24523</v>
      </c>
      <c r="H314" s="10" t="s">
        <v>979</v>
      </c>
      <c r="I314" s="10" t="s">
        <v>50</v>
      </c>
      <c r="J314" s="12" t="s">
        <v>980</v>
      </c>
      <c r="K314" s="19" t="s">
        <v>22</v>
      </c>
      <c r="L314" s="10" t="s">
        <v>99</v>
      </c>
      <c r="M314" s="11">
        <f>D314+5</f>
        <v>45972</v>
      </c>
      <c r="N314" s="11">
        <f t="shared" si="22"/>
        <v>45972</v>
      </c>
      <c r="O314" s="10" t="s">
        <v>27</v>
      </c>
      <c r="P314" s="10" t="s">
        <v>65</v>
      </c>
      <c r="Q314" s="10"/>
      <c r="R314" s="14">
        <v>8</v>
      </c>
    </row>
    <row r="315" spans="1:19" x14ac:dyDescent="0.25">
      <c r="A315" s="25">
        <v>6</v>
      </c>
      <c r="B315" s="9" t="s">
        <v>981</v>
      </c>
      <c r="C315" s="10" t="s">
        <v>19</v>
      </c>
      <c r="D315" s="11">
        <v>45967</v>
      </c>
      <c r="E315" s="10" t="s">
        <v>945</v>
      </c>
      <c r="F315" s="10" t="s">
        <v>21</v>
      </c>
      <c r="G315" s="10" t="s">
        <v>22</v>
      </c>
      <c r="H315" s="10" t="s">
        <v>946</v>
      </c>
      <c r="I315" s="10" t="s">
        <v>23</v>
      </c>
      <c r="J315" s="12" t="s">
        <v>982</v>
      </c>
      <c r="K315" s="19" t="s">
        <v>22</v>
      </c>
      <c r="L315" s="10" t="s">
        <v>26</v>
      </c>
      <c r="M315" s="11">
        <f>D315+6</f>
        <v>45973</v>
      </c>
      <c r="N315" s="11">
        <f>M315+1</f>
        <v>45974</v>
      </c>
      <c r="O315" s="10" t="s">
        <v>27</v>
      </c>
      <c r="P315" s="10" t="s">
        <v>45</v>
      </c>
      <c r="Q315" s="10"/>
      <c r="R315" s="14">
        <v>6</v>
      </c>
    </row>
    <row r="316" spans="1:19" x14ac:dyDescent="0.25">
      <c r="A316" s="25">
        <v>7</v>
      </c>
      <c r="B316" s="9" t="s">
        <v>983</v>
      </c>
      <c r="C316" s="10" t="s">
        <v>19</v>
      </c>
      <c r="D316" s="11">
        <v>45968</v>
      </c>
      <c r="E316" s="10" t="s">
        <v>116</v>
      </c>
      <c r="F316" s="10" t="s">
        <v>21</v>
      </c>
      <c r="G316" s="10" t="s">
        <v>22</v>
      </c>
      <c r="H316" s="10" t="s">
        <v>984</v>
      </c>
      <c r="I316" s="10" t="s">
        <v>23</v>
      </c>
      <c r="J316" s="12" t="s">
        <v>985</v>
      </c>
      <c r="K316" s="19" t="s">
        <v>22</v>
      </c>
      <c r="L316" s="10" t="s">
        <v>26</v>
      </c>
      <c r="M316" s="11">
        <f>D316+5</f>
        <v>45973</v>
      </c>
      <c r="N316" s="11">
        <f>M316</f>
        <v>45973</v>
      </c>
      <c r="O316" s="10" t="s">
        <v>27</v>
      </c>
      <c r="P316" s="10" t="s">
        <v>58</v>
      </c>
      <c r="Q316" s="10"/>
      <c r="R316" s="14">
        <v>3</v>
      </c>
    </row>
    <row r="317" spans="1:19" x14ac:dyDescent="0.25">
      <c r="A317" s="25">
        <v>8</v>
      </c>
      <c r="B317" s="9" t="s">
        <v>986</v>
      </c>
      <c r="C317" s="10" t="s">
        <v>19</v>
      </c>
      <c r="D317" s="11">
        <v>45972</v>
      </c>
      <c r="E317" s="10" t="s">
        <v>987</v>
      </c>
      <c r="F317" s="10" t="s">
        <v>86</v>
      </c>
      <c r="G317" s="10" t="s">
        <v>22</v>
      </c>
      <c r="H317" s="10" t="s">
        <v>988</v>
      </c>
      <c r="I317" s="10" t="s">
        <v>63</v>
      </c>
      <c r="J317" s="12" t="s">
        <v>989</v>
      </c>
      <c r="K317" s="19" t="s">
        <v>22</v>
      </c>
      <c r="L317" s="10" t="s">
        <v>37</v>
      </c>
      <c r="M317" s="11">
        <f>D317+3</f>
        <v>45975</v>
      </c>
      <c r="N317" s="11">
        <f>M317</f>
        <v>45975</v>
      </c>
      <c r="O317" s="10" t="s">
        <v>27</v>
      </c>
      <c r="P317" s="10" t="s">
        <v>65</v>
      </c>
      <c r="Q317" s="10"/>
      <c r="R317" s="14">
        <v>3</v>
      </c>
    </row>
    <row r="318" spans="1:19" x14ac:dyDescent="0.25">
      <c r="A318" s="25">
        <v>9</v>
      </c>
      <c r="B318" s="9" t="s">
        <v>990</v>
      </c>
      <c r="C318" s="10" t="s">
        <v>19</v>
      </c>
      <c r="D318" s="11">
        <v>45968</v>
      </c>
      <c r="E318" s="10" t="s">
        <v>116</v>
      </c>
      <c r="F318" s="10" t="s">
        <v>21</v>
      </c>
      <c r="G318" s="10" t="s">
        <v>22</v>
      </c>
      <c r="H318" s="10" t="s">
        <v>991</v>
      </c>
      <c r="I318" s="10" t="s">
        <v>23</v>
      </c>
      <c r="J318" s="12" t="s">
        <v>992</v>
      </c>
      <c r="K318" s="19" t="s">
        <v>22</v>
      </c>
      <c r="L318" s="10" t="s">
        <v>37</v>
      </c>
      <c r="M318" s="11">
        <f>D318+72</f>
        <v>46040</v>
      </c>
      <c r="N318" s="11">
        <f>M318</f>
        <v>46040</v>
      </c>
      <c r="O318" s="10" t="s">
        <v>27</v>
      </c>
      <c r="P318" s="10" t="s">
        <v>58</v>
      </c>
      <c r="Q318" s="10"/>
      <c r="R318" s="14">
        <v>12</v>
      </c>
    </row>
    <row r="319" spans="1:19" x14ac:dyDescent="0.25">
      <c r="A319" s="25">
        <v>10</v>
      </c>
      <c r="B319" s="9" t="s">
        <v>993</v>
      </c>
      <c r="C319" s="10" t="s">
        <v>19</v>
      </c>
      <c r="D319" s="11">
        <v>45971</v>
      </c>
      <c r="E319" s="10" t="s">
        <v>898</v>
      </c>
      <c r="F319" s="10" t="s">
        <v>42</v>
      </c>
      <c r="G319" s="10" t="s">
        <v>22</v>
      </c>
      <c r="H319" s="10" t="s">
        <v>994</v>
      </c>
      <c r="I319" s="10" t="s">
        <v>68</v>
      </c>
      <c r="J319" s="12" t="s">
        <v>995</v>
      </c>
      <c r="K319" s="19" t="s">
        <v>22</v>
      </c>
      <c r="L319" s="10" t="s">
        <v>26</v>
      </c>
      <c r="M319" s="11">
        <f>D319+1</f>
        <v>45972</v>
      </c>
      <c r="N319" s="11">
        <f>M319</f>
        <v>45972</v>
      </c>
      <c r="O319" s="10" t="s">
        <v>27</v>
      </c>
      <c r="P319" s="10" t="s">
        <v>65</v>
      </c>
      <c r="Q319" s="10"/>
      <c r="R319" s="14">
        <v>2</v>
      </c>
    </row>
    <row r="320" spans="1:19" x14ac:dyDescent="0.25">
      <c r="A320" s="25">
        <v>11</v>
      </c>
      <c r="B320" s="9" t="s">
        <v>996</v>
      </c>
      <c r="C320" s="10" t="s">
        <v>19</v>
      </c>
      <c r="D320" s="11">
        <v>45972</v>
      </c>
      <c r="E320" s="10" t="s">
        <v>822</v>
      </c>
      <c r="F320" s="10" t="s">
        <v>42</v>
      </c>
      <c r="G320" s="10" t="s">
        <v>22</v>
      </c>
      <c r="H320" s="10" t="s">
        <v>997</v>
      </c>
      <c r="I320" s="10" t="s">
        <v>68</v>
      </c>
      <c r="J320" s="12" t="s">
        <v>998</v>
      </c>
      <c r="K320" s="19" t="s">
        <v>22</v>
      </c>
      <c r="L320" s="10" t="s">
        <v>26</v>
      </c>
      <c r="M320" s="11">
        <f>D320+3</f>
        <v>45975</v>
      </c>
      <c r="N320" s="11">
        <f>M320</f>
        <v>45975</v>
      </c>
      <c r="O320" s="10" t="s">
        <v>27</v>
      </c>
      <c r="P320" s="10" t="s">
        <v>58</v>
      </c>
      <c r="Q320" s="10"/>
      <c r="R320" s="14">
        <v>2</v>
      </c>
    </row>
    <row r="321" spans="1:19" x14ac:dyDescent="0.25">
      <c r="A321" s="25">
        <v>12</v>
      </c>
      <c r="B321" s="9" t="s">
        <v>999</v>
      </c>
      <c r="C321" s="10" t="s">
        <v>35</v>
      </c>
      <c r="D321" s="11">
        <v>45972</v>
      </c>
      <c r="E321" s="10" t="s">
        <v>306</v>
      </c>
      <c r="F321" s="10" t="s">
        <v>21</v>
      </c>
      <c r="G321" s="10" t="s">
        <v>22</v>
      </c>
      <c r="H321" s="10" t="s">
        <v>307</v>
      </c>
      <c r="I321" s="10" t="s">
        <v>23</v>
      </c>
      <c r="J321" s="12" t="s">
        <v>1000</v>
      </c>
      <c r="K321" s="19" t="s">
        <v>22</v>
      </c>
      <c r="L321" s="10" t="s">
        <v>73</v>
      </c>
      <c r="M321" s="11">
        <f>D321+3</f>
        <v>45975</v>
      </c>
      <c r="N321" s="11">
        <v>46003</v>
      </c>
      <c r="O321" s="10" t="s">
        <v>27</v>
      </c>
      <c r="P321" s="10" t="s">
        <v>45</v>
      </c>
      <c r="Q321" s="10"/>
      <c r="R321" s="14">
        <v>1</v>
      </c>
    </row>
    <row r="322" spans="1:19" x14ac:dyDescent="0.25">
      <c r="A322" s="25">
        <v>13</v>
      </c>
      <c r="B322" s="9" t="s">
        <v>1001</v>
      </c>
      <c r="C322" s="10" t="s">
        <v>19</v>
      </c>
      <c r="D322" s="11">
        <v>45975</v>
      </c>
      <c r="E322" s="10" t="s">
        <v>314</v>
      </c>
      <c r="F322" s="10" t="s">
        <v>42</v>
      </c>
      <c r="G322" s="10" t="s">
        <v>22</v>
      </c>
      <c r="H322" s="10" t="s">
        <v>1002</v>
      </c>
      <c r="I322" s="10" t="s">
        <v>68</v>
      </c>
      <c r="J322" s="12" t="s">
        <v>1003</v>
      </c>
      <c r="K322" s="19" t="s">
        <v>22</v>
      </c>
      <c r="L322" s="10" t="s">
        <v>26</v>
      </c>
      <c r="M322" s="11">
        <f>D322+4</f>
        <v>45979</v>
      </c>
      <c r="N322" s="11">
        <f>M322</f>
        <v>45979</v>
      </c>
      <c r="O322" s="10" t="s">
        <v>39</v>
      </c>
      <c r="P322" s="10" t="s">
        <v>28</v>
      </c>
      <c r="Q322" s="10"/>
      <c r="R322" s="14">
        <v>7</v>
      </c>
    </row>
    <row r="323" spans="1:19" x14ac:dyDescent="0.25">
      <c r="A323" s="25">
        <v>14</v>
      </c>
      <c r="B323" s="9" t="s">
        <v>1004</v>
      </c>
      <c r="C323" s="10" t="s">
        <v>19</v>
      </c>
      <c r="D323" s="11">
        <v>45975</v>
      </c>
      <c r="E323" s="10" t="s">
        <v>314</v>
      </c>
      <c r="F323" s="10" t="s">
        <v>42</v>
      </c>
      <c r="G323" s="10" t="s">
        <v>22</v>
      </c>
      <c r="H323" s="10" t="s">
        <v>815</v>
      </c>
      <c r="I323" s="10" t="s">
        <v>68</v>
      </c>
      <c r="J323" s="12" t="s">
        <v>1005</v>
      </c>
      <c r="K323" s="19" t="s">
        <v>22</v>
      </c>
      <c r="L323" s="10" t="s">
        <v>26</v>
      </c>
      <c r="M323" s="11">
        <f>D323+4</f>
        <v>45979</v>
      </c>
      <c r="N323" s="11">
        <f>M323</f>
        <v>45979</v>
      </c>
      <c r="O323" s="10" t="s">
        <v>27</v>
      </c>
      <c r="P323" s="10" t="s">
        <v>45</v>
      </c>
      <c r="Q323" s="10"/>
      <c r="R323" s="14">
        <v>2</v>
      </c>
    </row>
    <row r="324" spans="1:19" x14ac:dyDescent="0.25">
      <c r="A324" s="25">
        <v>15</v>
      </c>
      <c r="B324" s="9" t="s">
        <v>1006</v>
      </c>
      <c r="C324" s="10" t="s">
        <v>35</v>
      </c>
      <c r="D324" s="11">
        <v>45979</v>
      </c>
      <c r="E324" s="10" t="s">
        <v>588</v>
      </c>
      <c r="F324" s="10" t="s">
        <v>21</v>
      </c>
      <c r="G324" s="10" t="s">
        <v>22</v>
      </c>
      <c r="H324" s="10" t="s">
        <v>203</v>
      </c>
      <c r="I324" s="10" t="s">
        <v>23</v>
      </c>
      <c r="J324" s="12" t="s">
        <v>1007</v>
      </c>
      <c r="K324" s="19" t="s">
        <v>22</v>
      </c>
      <c r="L324" s="10" t="s">
        <v>73</v>
      </c>
      <c r="M324" s="11">
        <f t="shared" ref="M324:M325" si="23">D324+3</f>
        <v>45982</v>
      </c>
      <c r="N324" s="11">
        <v>45982</v>
      </c>
      <c r="O324" s="10" t="s">
        <v>27</v>
      </c>
      <c r="P324" s="10" t="s">
        <v>45</v>
      </c>
      <c r="Q324" s="10"/>
      <c r="R324" s="14">
        <v>4</v>
      </c>
    </row>
    <row r="325" spans="1:19" x14ac:dyDescent="0.25">
      <c r="A325" s="25">
        <v>16</v>
      </c>
      <c r="B325" s="9" t="s">
        <v>1008</v>
      </c>
      <c r="C325" s="10" t="s">
        <v>35</v>
      </c>
      <c r="D325" s="11">
        <v>45979</v>
      </c>
      <c r="E325" s="10" t="s">
        <v>588</v>
      </c>
      <c r="F325" s="10" t="s">
        <v>21</v>
      </c>
      <c r="G325" s="10" t="s">
        <v>22</v>
      </c>
      <c r="H325" s="10" t="s">
        <v>203</v>
      </c>
      <c r="I325" s="10" t="s">
        <v>23</v>
      </c>
      <c r="J325" s="12" t="s">
        <v>1009</v>
      </c>
      <c r="K325" s="19" t="s">
        <v>22</v>
      </c>
      <c r="L325" s="10" t="s">
        <v>73</v>
      </c>
      <c r="M325" s="11">
        <f t="shared" si="23"/>
        <v>45982</v>
      </c>
      <c r="N325" s="11">
        <v>45982</v>
      </c>
      <c r="O325" s="10" t="s">
        <v>27</v>
      </c>
      <c r="P325" s="10" t="s">
        <v>45</v>
      </c>
      <c r="Q325" s="10"/>
      <c r="R325" s="14">
        <v>4</v>
      </c>
    </row>
    <row r="326" spans="1:19" x14ac:dyDescent="0.25">
      <c r="A326" s="25">
        <v>17</v>
      </c>
      <c r="B326" s="9" t="s">
        <v>1010</v>
      </c>
      <c r="C326" s="10" t="s">
        <v>35</v>
      </c>
      <c r="D326" s="11">
        <v>45979</v>
      </c>
      <c r="E326" s="10" t="s">
        <v>588</v>
      </c>
      <c r="F326" s="10" t="s">
        <v>21</v>
      </c>
      <c r="G326" s="10" t="s">
        <v>22</v>
      </c>
      <c r="H326" s="10" t="s">
        <v>203</v>
      </c>
      <c r="I326" s="10" t="s">
        <v>23</v>
      </c>
      <c r="J326" s="12" t="s">
        <v>1011</v>
      </c>
      <c r="K326" s="19" t="s">
        <v>22</v>
      </c>
      <c r="L326" s="10" t="s">
        <v>89</v>
      </c>
      <c r="M326" s="11">
        <f>D326</f>
        <v>45979</v>
      </c>
      <c r="N326" s="11">
        <v>45995</v>
      </c>
      <c r="O326" s="10" t="s">
        <v>27</v>
      </c>
      <c r="P326" s="10" t="s">
        <v>45</v>
      </c>
      <c r="Q326" s="10"/>
      <c r="R326" s="14">
        <v>8</v>
      </c>
    </row>
    <row r="327" spans="1:19" x14ac:dyDescent="0.25">
      <c r="A327" s="25">
        <v>18</v>
      </c>
      <c r="B327" s="9" t="s">
        <v>1012</v>
      </c>
      <c r="C327" s="10" t="s">
        <v>19</v>
      </c>
      <c r="D327" s="11">
        <v>45979</v>
      </c>
      <c r="E327" s="10" t="s">
        <v>1013</v>
      </c>
      <c r="F327" s="10" t="s">
        <v>42</v>
      </c>
      <c r="G327" s="10" t="s">
        <v>22</v>
      </c>
      <c r="H327" s="10" t="s">
        <v>1014</v>
      </c>
      <c r="I327" s="10" t="s">
        <v>36</v>
      </c>
      <c r="J327" s="12" t="s">
        <v>1015</v>
      </c>
      <c r="K327" s="19" t="s">
        <v>25</v>
      </c>
      <c r="L327" s="10" t="s">
        <v>26</v>
      </c>
      <c r="M327" s="11">
        <f>D327+7</f>
        <v>45986</v>
      </c>
      <c r="N327" s="11">
        <f>M327</f>
        <v>45986</v>
      </c>
      <c r="O327" s="10" t="s">
        <v>39</v>
      </c>
      <c r="P327" s="10" t="s">
        <v>58</v>
      </c>
      <c r="Q327" s="10"/>
      <c r="R327" s="14">
        <v>8</v>
      </c>
    </row>
    <row r="328" spans="1:19" x14ac:dyDescent="0.25">
      <c r="A328" s="25">
        <v>19</v>
      </c>
      <c r="B328" s="9" t="s">
        <v>1016</v>
      </c>
      <c r="C328" s="10" t="s">
        <v>35</v>
      </c>
      <c r="D328" s="11">
        <v>45985</v>
      </c>
      <c r="E328" s="10" t="s">
        <v>588</v>
      </c>
      <c r="F328" s="10" t="s">
        <v>21</v>
      </c>
      <c r="G328" s="10" t="s">
        <v>22</v>
      </c>
      <c r="H328" s="10" t="s">
        <v>514</v>
      </c>
      <c r="I328" s="10" t="s">
        <v>23</v>
      </c>
      <c r="J328" s="12" t="s">
        <v>1017</v>
      </c>
      <c r="K328" s="19"/>
      <c r="L328" s="10" t="s">
        <v>83</v>
      </c>
      <c r="M328" s="11">
        <f>D328+2</f>
        <v>45987</v>
      </c>
      <c r="N328" s="11">
        <f>M328</f>
        <v>45987</v>
      </c>
      <c r="O328" s="10" t="s">
        <v>27</v>
      </c>
      <c r="P328" s="10" t="s">
        <v>65</v>
      </c>
      <c r="Q328" s="10"/>
      <c r="R328" s="14">
        <v>6</v>
      </c>
    </row>
    <row r="329" spans="1:19" x14ac:dyDescent="0.25">
      <c r="A329" s="25">
        <v>20</v>
      </c>
      <c r="B329" s="9" t="s">
        <v>1018</v>
      </c>
      <c r="C329" s="10" t="s">
        <v>49</v>
      </c>
      <c r="D329" s="11">
        <v>45986</v>
      </c>
      <c r="E329" s="10" t="s">
        <v>159</v>
      </c>
      <c r="F329" s="10" t="s">
        <v>21</v>
      </c>
      <c r="G329" s="10" t="s">
        <v>22</v>
      </c>
      <c r="H329" s="10" t="s">
        <v>902</v>
      </c>
      <c r="I329" s="10" t="s">
        <v>50</v>
      </c>
      <c r="J329" s="12" t="s">
        <v>1019</v>
      </c>
      <c r="K329" s="19" t="s">
        <v>22</v>
      </c>
      <c r="L329" s="10" t="s">
        <v>69</v>
      </c>
      <c r="M329" s="11">
        <f>D329+10</f>
        <v>45996</v>
      </c>
      <c r="N329" s="11">
        <f>M329</f>
        <v>45996</v>
      </c>
      <c r="O329" s="10" t="s">
        <v>27</v>
      </c>
      <c r="P329" s="10" t="s">
        <v>65</v>
      </c>
      <c r="Q329" s="10"/>
      <c r="R329" s="14">
        <v>19</v>
      </c>
    </row>
    <row r="330" spans="1:19" x14ac:dyDescent="0.25">
      <c r="A330" s="25">
        <v>21</v>
      </c>
      <c r="B330" s="9" t="s">
        <v>1020</v>
      </c>
      <c r="C330" s="10" t="s">
        <v>19</v>
      </c>
      <c r="D330" s="11">
        <v>45982</v>
      </c>
      <c r="E330" s="10" t="s">
        <v>282</v>
      </c>
      <c r="F330" s="10" t="s">
        <v>21</v>
      </c>
      <c r="G330" s="10" t="s">
        <v>22</v>
      </c>
      <c r="H330" s="10" t="s">
        <v>1021</v>
      </c>
      <c r="I330" s="10" t="s">
        <v>23</v>
      </c>
      <c r="J330" s="12" t="s">
        <v>1022</v>
      </c>
      <c r="K330" s="19" t="s">
        <v>22</v>
      </c>
      <c r="L330" s="10" t="s">
        <v>30</v>
      </c>
      <c r="M330" s="11">
        <f>D330+14</f>
        <v>45996</v>
      </c>
      <c r="N330" s="11">
        <f>M330</f>
        <v>45996</v>
      </c>
      <c r="O330" s="10" t="s">
        <v>39</v>
      </c>
      <c r="P330" s="10" t="s">
        <v>45</v>
      </c>
      <c r="Q330" s="10"/>
      <c r="R330" s="14">
        <v>3</v>
      </c>
    </row>
    <row r="331" spans="1:19" x14ac:dyDescent="0.25">
      <c r="A331" s="25">
        <v>22</v>
      </c>
      <c r="B331" s="9" t="s">
        <v>1023</v>
      </c>
      <c r="C331" s="10" t="s">
        <v>19</v>
      </c>
      <c r="D331" s="11">
        <v>45981</v>
      </c>
      <c r="E331" s="10" t="s">
        <v>1024</v>
      </c>
      <c r="F331" s="10" t="s">
        <v>21</v>
      </c>
      <c r="G331" s="10" t="s">
        <v>22</v>
      </c>
      <c r="H331" s="10" t="s">
        <v>1025</v>
      </c>
      <c r="I331" s="10" t="s">
        <v>36</v>
      </c>
      <c r="J331" s="12" t="s">
        <v>1026</v>
      </c>
      <c r="K331" s="19" t="s">
        <v>22</v>
      </c>
      <c r="L331" s="10" t="s">
        <v>44</v>
      </c>
      <c r="M331" s="11">
        <f>D331+365</f>
        <v>46346</v>
      </c>
      <c r="N331" s="11">
        <f>M331+63</f>
        <v>46409</v>
      </c>
      <c r="O331" s="10" t="s">
        <v>27</v>
      </c>
      <c r="P331" s="10" t="s">
        <v>65</v>
      </c>
      <c r="Q331" s="10"/>
      <c r="R331" s="14">
        <v>4</v>
      </c>
      <c r="S331" s="24">
        <f>SUM(R310:R331)</f>
        <v>123</v>
      </c>
    </row>
    <row r="332" spans="1:19" x14ac:dyDescent="0.25">
      <c r="A332" s="21">
        <v>1</v>
      </c>
      <c r="B332" s="9" t="s">
        <v>1027</v>
      </c>
      <c r="C332" s="10" t="s">
        <v>49</v>
      </c>
      <c r="D332" s="11">
        <v>45992</v>
      </c>
      <c r="E332" s="10" t="s">
        <v>1028</v>
      </c>
      <c r="F332" s="10" t="s">
        <v>62</v>
      </c>
      <c r="G332" s="10" t="s">
        <v>22</v>
      </c>
      <c r="H332" s="10" t="s">
        <v>1029</v>
      </c>
      <c r="I332" s="10" t="s">
        <v>56</v>
      </c>
      <c r="J332" s="12" t="s">
        <v>1030</v>
      </c>
      <c r="K332" s="19" t="s">
        <v>22</v>
      </c>
      <c r="L332" s="10" t="s">
        <v>108</v>
      </c>
      <c r="M332" s="11">
        <v>45992</v>
      </c>
      <c r="N332" s="11">
        <f>M332</f>
        <v>45992</v>
      </c>
      <c r="O332" s="10" t="s">
        <v>39</v>
      </c>
      <c r="P332" s="10" t="s">
        <v>28</v>
      </c>
      <c r="Q332" s="10"/>
      <c r="R332" s="14">
        <v>4</v>
      </c>
    </row>
    <row r="333" spans="1:19" x14ac:dyDescent="0.25">
      <c r="A333" s="21">
        <v>2</v>
      </c>
      <c r="B333" s="9" t="s">
        <v>1031</v>
      </c>
      <c r="C333" s="10" t="s">
        <v>19</v>
      </c>
      <c r="D333" s="11">
        <v>45993</v>
      </c>
      <c r="E333" s="10" t="s">
        <v>597</v>
      </c>
      <c r="F333" s="10" t="s">
        <v>42</v>
      </c>
      <c r="G333" s="10" t="s">
        <v>22</v>
      </c>
      <c r="H333" s="10" t="s">
        <v>1032</v>
      </c>
      <c r="I333" s="10" t="s">
        <v>23</v>
      </c>
      <c r="J333" s="12" t="s">
        <v>1033</v>
      </c>
      <c r="K333" s="19" t="s">
        <v>22</v>
      </c>
      <c r="L333" s="10" t="s">
        <v>114</v>
      </c>
      <c r="M333" s="11">
        <f>D333+3</f>
        <v>45996</v>
      </c>
      <c r="N333" s="11">
        <f t="shared" ref="N333:N338" si="24">M333</f>
        <v>45996</v>
      </c>
      <c r="O333" s="10" t="s">
        <v>27</v>
      </c>
      <c r="P333" s="10" t="s">
        <v>45</v>
      </c>
      <c r="Q333" s="10"/>
      <c r="R333" s="14">
        <v>2</v>
      </c>
    </row>
    <row r="334" spans="1:19" x14ac:dyDescent="0.25">
      <c r="A334" s="21">
        <v>3</v>
      </c>
      <c r="B334" s="9" t="s">
        <v>1034</v>
      </c>
      <c r="C334" s="10" t="s">
        <v>19</v>
      </c>
      <c r="D334" s="11">
        <v>45994</v>
      </c>
      <c r="E334" s="10" t="s">
        <v>454</v>
      </c>
      <c r="F334" s="10" t="s">
        <v>110</v>
      </c>
      <c r="G334" s="10" t="s">
        <v>22</v>
      </c>
      <c r="H334" s="10" t="s">
        <v>303</v>
      </c>
      <c r="I334" s="10" t="s">
        <v>23</v>
      </c>
      <c r="J334" s="12" t="s">
        <v>1035</v>
      </c>
      <c r="K334" s="19" t="s">
        <v>22</v>
      </c>
      <c r="L334" s="10" t="s">
        <v>44</v>
      </c>
      <c r="M334" s="11">
        <f>D334+3</f>
        <v>45997</v>
      </c>
      <c r="N334" s="11">
        <f>M334+3</f>
        <v>46000</v>
      </c>
      <c r="O334" s="10" t="s">
        <v>27</v>
      </c>
      <c r="P334" s="10" t="s">
        <v>28</v>
      </c>
      <c r="Q334" s="10"/>
      <c r="R334" s="14">
        <v>1</v>
      </c>
    </row>
    <row r="335" spans="1:19" x14ac:dyDescent="0.25">
      <c r="A335" s="21">
        <v>4</v>
      </c>
      <c r="B335" s="9" t="s">
        <v>1036</v>
      </c>
      <c r="C335" s="10" t="s">
        <v>49</v>
      </c>
      <c r="D335" s="11">
        <v>45995</v>
      </c>
      <c r="E335" s="10" t="s">
        <v>211</v>
      </c>
      <c r="F335" s="10" t="s">
        <v>21</v>
      </c>
      <c r="G335" s="10" t="s">
        <v>22</v>
      </c>
      <c r="H335" s="10" t="s">
        <v>443</v>
      </c>
      <c r="I335" s="10" t="s">
        <v>56</v>
      </c>
      <c r="J335" s="12" t="s">
        <v>1037</v>
      </c>
      <c r="K335" s="19" t="s">
        <v>22</v>
      </c>
      <c r="L335" s="10" t="s">
        <v>108</v>
      </c>
      <c r="M335" s="11">
        <f>D335</f>
        <v>45995</v>
      </c>
      <c r="N335" s="11">
        <f t="shared" si="24"/>
        <v>45995</v>
      </c>
      <c r="O335" s="10" t="s">
        <v>39</v>
      </c>
      <c r="P335" s="10" t="s">
        <v>28</v>
      </c>
      <c r="Q335" s="10"/>
      <c r="R335" s="14">
        <v>6</v>
      </c>
    </row>
    <row r="336" spans="1:19" x14ac:dyDescent="0.25">
      <c r="A336" s="21">
        <v>5</v>
      </c>
      <c r="B336" s="9" t="s">
        <v>1038</v>
      </c>
      <c r="C336" s="10" t="s">
        <v>49</v>
      </c>
      <c r="D336" s="11">
        <v>45995</v>
      </c>
      <c r="E336" s="10" t="s">
        <v>159</v>
      </c>
      <c r="F336" s="10" t="s">
        <v>21</v>
      </c>
      <c r="G336" s="10" t="s">
        <v>22</v>
      </c>
      <c r="H336" s="10" t="s">
        <v>902</v>
      </c>
      <c r="I336" s="10" t="s">
        <v>50</v>
      </c>
      <c r="J336" s="12" t="s">
        <v>1039</v>
      </c>
      <c r="K336" s="19" t="s">
        <v>22</v>
      </c>
      <c r="L336" s="10" t="s">
        <v>108</v>
      </c>
      <c r="M336" s="11">
        <v>45996</v>
      </c>
      <c r="N336" s="11">
        <f t="shared" si="24"/>
        <v>45996</v>
      </c>
      <c r="O336" s="10" t="s">
        <v>27</v>
      </c>
      <c r="P336" s="10" t="s">
        <v>65</v>
      </c>
      <c r="Q336" s="10"/>
      <c r="R336" s="14">
        <v>3</v>
      </c>
    </row>
    <row r="337" spans="1:18" x14ac:dyDescent="0.25">
      <c r="A337" s="21">
        <v>6</v>
      </c>
      <c r="B337" s="9" t="s">
        <v>1040</v>
      </c>
      <c r="C337" s="10" t="s">
        <v>49</v>
      </c>
      <c r="D337" s="11">
        <v>45999</v>
      </c>
      <c r="E337" s="10" t="s">
        <v>1041</v>
      </c>
      <c r="F337" s="10" t="s">
        <v>21</v>
      </c>
      <c r="G337" s="10" t="s">
        <v>22</v>
      </c>
      <c r="H337" s="10" t="s">
        <v>1042</v>
      </c>
      <c r="I337" s="10" t="s">
        <v>50</v>
      </c>
      <c r="J337" s="12" t="s">
        <v>1043</v>
      </c>
      <c r="K337" s="19" t="s">
        <v>22</v>
      </c>
      <c r="L337" s="10" t="s">
        <v>108</v>
      </c>
      <c r="M337" s="11">
        <v>46001</v>
      </c>
      <c r="N337" s="11">
        <f t="shared" si="24"/>
        <v>46001</v>
      </c>
      <c r="O337" s="10" t="s">
        <v>39</v>
      </c>
      <c r="P337" s="10" t="s">
        <v>28</v>
      </c>
      <c r="Q337" s="10"/>
      <c r="R337" s="14">
        <v>4</v>
      </c>
    </row>
    <row r="338" spans="1:18" x14ac:dyDescent="0.25">
      <c r="A338" s="21">
        <v>7</v>
      </c>
      <c r="B338" s="9" t="s">
        <v>1044</v>
      </c>
      <c r="C338" s="10" t="s">
        <v>49</v>
      </c>
      <c r="D338" s="11">
        <v>45995</v>
      </c>
      <c r="E338" s="10" t="s">
        <v>159</v>
      </c>
      <c r="F338" s="10" t="s">
        <v>21</v>
      </c>
      <c r="G338" s="10" t="s">
        <v>22</v>
      </c>
      <c r="H338" s="10" t="s">
        <v>902</v>
      </c>
      <c r="I338" s="10" t="s">
        <v>50</v>
      </c>
      <c r="J338" s="12" t="s">
        <v>1045</v>
      </c>
      <c r="K338" s="19" t="s">
        <v>22</v>
      </c>
      <c r="L338" s="10" t="s">
        <v>69</v>
      </c>
      <c r="M338" s="11">
        <f>D338+10</f>
        <v>46005</v>
      </c>
      <c r="N338" s="11">
        <f t="shared" si="24"/>
        <v>46005</v>
      </c>
      <c r="O338" s="10" t="s">
        <v>27</v>
      </c>
      <c r="P338" s="10" t="s">
        <v>28</v>
      </c>
      <c r="Q338" s="10"/>
      <c r="R338" s="14">
        <v>8</v>
      </c>
    </row>
    <row r="339" spans="1:18" x14ac:dyDescent="0.25">
      <c r="A339" s="21">
        <v>8</v>
      </c>
      <c r="B339" s="9" t="s">
        <v>1046</v>
      </c>
      <c r="C339" s="10" t="s">
        <v>35</v>
      </c>
      <c r="D339" s="11">
        <v>45995</v>
      </c>
      <c r="E339" s="10" t="s">
        <v>220</v>
      </c>
      <c r="F339" s="10" t="s">
        <v>21</v>
      </c>
      <c r="G339" s="10" t="s">
        <v>22</v>
      </c>
      <c r="H339" s="10" t="s">
        <v>1047</v>
      </c>
      <c r="I339" s="10" t="s">
        <v>23</v>
      </c>
      <c r="J339" s="12" t="s">
        <v>1048</v>
      </c>
      <c r="K339" s="19" t="s">
        <v>22</v>
      </c>
      <c r="L339" s="10" t="s">
        <v>89</v>
      </c>
      <c r="M339" s="11">
        <f>D339+1</f>
        <v>45996</v>
      </c>
      <c r="N339" s="11">
        <f>M339</f>
        <v>45996</v>
      </c>
      <c r="O339" s="10" t="s">
        <v>39</v>
      </c>
      <c r="P339" s="10" t="s">
        <v>28</v>
      </c>
      <c r="Q339" s="10"/>
      <c r="R339" s="14">
        <v>4</v>
      </c>
    </row>
    <row r="340" spans="1:18" x14ac:dyDescent="0.25">
      <c r="A340" s="21">
        <v>9</v>
      </c>
      <c r="B340" s="9" t="s">
        <v>1049</v>
      </c>
      <c r="C340" s="10" t="s">
        <v>49</v>
      </c>
      <c r="D340" s="11">
        <v>46002</v>
      </c>
      <c r="E340" s="10" t="s">
        <v>474</v>
      </c>
      <c r="F340" s="10" t="s">
        <v>21</v>
      </c>
      <c r="G340" s="10" t="s">
        <v>22</v>
      </c>
      <c r="H340" s="10" t="s">
        <v>475</v>
      </c>
      <c r="I340" s="10" t="s">
        <v>50</v>
      </c>
      <c r="J340" s="12" t="s">
        <v>1050</v>
      </c>
      <c r="K340" s="19" t="s">
        <v>22</v>
      </c>
      <c r="L340" s="10" t="s">
        <v>108</v>
      </c>
      <c r="M340" s="11">
        <v>46002</v>
      </c>
      <c r="N340" s="11">
        <v>46003</v>
      </c>
      <c r="O340" s="10" t="s">
        <v>39</v>
      </c>
      <c r="P340" s="10" t="s">
        <v>58</v>
      </c>
      <c r="Q340" s="10"/>
      <c r="R340" s="14">
        <v>10</v>
      </c>
    </row>
    <row r="341" spans="1:18" x14ac:dyDescent="0.25">
      <c r="A341" s="21">
        <v>10</v>
      </c>
      <c r="B341" s="9" t="s">
        <v>1051</v>
      </c>
      <c r="C341" s="10" t="s">
        <v>19</v>
      </c>
      <c r="D341" s="11">
        <v>45998</v>
      </c>
      <c r="E341" s="10" t="s">
        <v>119</v>
      </c>
      <c r="F341" s="10" t="s">
        <v>21</v>
      </c>
      <c r="G341" s="10" t="s">
        <v>22</v>
      </c>
      <c r="H341" s="10" t="s">
        <v>521</v>
      </c>
      <c r="I341" s="10" t="s">
        <v>23</v>
      </c>
      <c r="J341" s="12" t="s">
        <v>1052</v>
      </c>
      <c r="K341" s="19" t="s">
        <v>22</v>
      </c>
      <c r="L341" s="10" t="s">
        <v>79</v>
      </c>
      <c r="M341" s="11">
        <f>D341+7</f>
        <v>46005</v>
      </c>
      <c r="N341" s="11">
        <f>M341-6</f>
        <v>45999</v>
      </c>
      <c r="O341" s="10" t="s">
        <v>39</v>
      </c>
      <c r="P341" s="10" t="s">
        <v>28</v>
      </c>
      <c r="Q341" s="10"/>
      <c r="R341" s="14">
        <v>3</v>
      </c>
    </row>
    <row r="342" spans="1:18" x14ac:dyDescent="0.25">
      <c r="A342" s="21">
        <v>11</v>
      </c>
      <c r="B342" s="9" t="s">
        <v>1053</v>
      </c>
      <c r="C342" s="10" t="s">
        <v>19</v>
      </c>
      <c r="D342" s="11">
        <v>46002</v>
      </c>
      <c r="E342" s="10" t="s">
        <v>314</v>
      </c>
      <c r="F342" s="10" t="s">
        <v>42</v>
      </c>
      <c r="G342" s="10" t="s">
        <v>22</v>
      </c>
      <c r="H342" s="10" t="s">
        <v>673</v>
      </c>
      <c r="I342" s="10" t="s">
        <v>23</v>
      </c>
      <c r="J342" s="12" t="s">
        <v>1054</v>
      </c>
      <c r="K342" s="19" t="s">
        <v>22</v>
      </c>
      <c r="L342" s="10" t="s">
        <v>26</v>
      </c>
      <c r="M342" s="11">
        <f>D342+8</f>
        <v>46010</v>
      </c>
      <c r="N342" s="11">
        <f>M342</f>
        <v>46010</v>
      </c>
      <c r="O342" s="10" t="s">
        <v>27</v>
      </c>
      <c r="P342" s="10" t="s">
        <v>58</v>
      </c>
      <c r="Q342" s="10"/>
      <c r="R342" s="14">
        <v>3</v>
      </c>
    </row>
    <row r="343" spans="1:18" x14ac:dyDescent="0.25">
      <c r="A343" s="21">
        <v>12</v>
      </c>
      <c r="B343" s="9" t="s">
        <v>1055</v>
      </c>
      <c r="C343" s="10" t="s">
        <v>19</v>
      </c>
      <c r="D343" s="11">
        <v>46003</v>
      </c>
      <c r="E343" s="10" t="s">
        <v>20</v>
      </c>
      <c r="F343" s="10" t="s">
        <v>21</v>
      </c>
      <c r="G343" s="10" t="s">
        <v>22</v>
      </c>
      <c r="H343" s="10" t="s">
        <v>1056</v>
      </c>
      <c r="I343" s="10" t="s">
        <v>23</v>
      </c>
      <c r="J343" s="12" t="s">
        <v>1057</v>
      </c>
      <c r="K343" s="19" t="s">
        <v>22</v>
      </c>
      <c r="L343" s="10" t="s">
        <v>26</v>
      </c>
      <c r="M343" s="11">
        <f>D343+5</f>
        <v>46008</v>
      </c>
      <c r="N343" s="11">
        <f>M343-1</f>
        <v>46007</v>
      </c>
      <c r="O343" s="10" t="s">
        <v>27</v>
      </c>
      <c r="P343" s="10" t="s">
        <v>38</v>
      </c>
      <c r="Q343" s="10"/>
      <c r="R343" s="14">
        <v>3</v>
      </c>
    </row>
    <row r="344" spans="1:18" x14ac:dyDescent="0.25">
      <c r="A344" s="21">
        <v>13</v>
      </c>
      <c r="B344" s="9" t="s">
        <v>1058</v>
      </c>
      <c r="C344" s="10" t="s">
        <v>19</v>
      </c>
      <c r="D344" s="11">
        <v>46003</v>
      </c>
      <c r="E344" s="10" t="s">
        <v>726</v>
      </c>
      <c r="F344" s="10" t="s">
        <v>42</v>
      </c>
      <c r="G344" s="10" t="s">
        <v>22</v>
      </c>
      <c r="H344" s="10" t="s">
        <v>775</v>
      </c>
      <c r="I344" s="10" t="s">
        <v>23</v>
      </c>
      <c r="J344" s="12" t="s">
        <v>1059</v>
      </c>
      <c r="K344" s="19" t="s">
        <v>22</v>
      </c>
      <c r="L344" s="10" t="s">
        <v>89</v>
      </c>
      <c r="M344" s="11">
        <f>D344+0</f>
        <v>46003</v>
      </c>
      <c r="N344" s="11">
        <f>M344</f>
        <v>46003</v>
      </c>
      <c r="O344" s="10" t="s">
        <v>27</v>
      </c>
      <c r="P344" s="10" t="s">
        <v>45</v>
      </c>
      <c r="Q344" s="10"/>
      <c r="R344" s="14">
        <v>2</v>
      </c>
    </row>
    <row r="345" spans="1:18" x14ac:dyDescent="0.25">
      <c r="A345" s="21">
        <v>14</v>
      </c>
      <c r="B345" s="9" t="s">
        <v>1060</v>
      </c>
      <c r="C345" s="10" t="s">
        <v>49</v>
      </c>
      <c r="D345" s="11">
        <v>46006</v>
      </c>
      <c r="E345" s="10" t="s">
        <v>1061</v>
      </c>
      <c r="F345" s="10" t="s">
        <v>1062</v>
      </c>
      <c r="G345" s="10" t="s">
        <v>22</v>
      </c>
      <c r="H345" s="10" t="s">
        <v>1063</v>
      </c>
      <c r="I345" s="10" t="s">
        <v>56</v>
      </c>
      <c r="J345" s="12" t="s">
        <v>1064</v>
      </c>
      <c r="K345" s="19" t="s">
        <v>22</v>
      </c>
      <c r="L345" s="10" t="s">
        <v>51</v>
      </c>
      <c r="M345" s="11">
        <f>D345+8</f>
        <v>46014</v>
      </c>
      <c r="N345" s="11">
        <f t="shared" ref="N345" si="25">M345</f>
        <v>46014</v>
      </c>
      <c r="O345" s="10" t="s">
        <v>27</v>
      </c>
      <c r="P345" s="10" t="s">
        <v>38</v>
      </c>
      <c r="Q345" s="10"/>
      <c r="R345" s="14">
        <v>1</v>
      </c>
    </row>
    <row r="346" spans="1:18" x14ac:dyDescent="0.25">
      <c r="A346" s="21">
        <v>15</v>
      </c>
      <c r="B346" s="9" t="s">
        <v>1065</v>
      </c>
      <c r="C346" s="10" t="s">
        <v>49</v>
      </c>
      <c r="D346" s="11">
        <v>46006</v>
      </c>
      <c r="E346" s="10" t="s">
        <v>1066</v>
      </c>
      <c r="F346" s="10" t="s">
        <v>110</v>
      </c>
      <c r="G346" s="10" t="s">
        <v>22</v>
      </c>
      <c r="H346" s="10" t="s">
        <v>1067</v>
      </c>
      <c r="I346" s="10" t="s">
        <v>56</v>
      </c>
      <c r="J346" s="12" t="s">
        <v>1068</v>
      </c>
      <c r="K346" s="19" t="s">
        <v>22</v>
      </c>
      <c r="L346" s="10" t="s">
        <v>108</v>
      </c>
      <c r="M346" s="11">
        <v>46006</v>
      </c>
      <c r="N346" s="11">
        <v>46006</v>
      </c>
      <c r="O346" s="10" t="s">
        <v>27</v>
      </c>
      <c r="P346" s="10" t="s">
        <v>28</v>
      </c>
      <c r="Q346" s="10"/>
      <c r="R346" s="14">
        <v>4</v>
      </c>
    </row>
    <row r="347" spans="1:18" x14ac:dyDescent="0.25">
      <c r="A347" s="21">
        <v>16</v>
      </c>
      <c r="B347" s="9" t="s">
        <v>1069</v>
      </c>
      <c r="C347" s="10" t="s">
        <v>49</v>
      </c>
      <c r="D347" s="11">
        <v>46006</v>
      </c>
      <c r="E347" s="10" t="s">
        <v>1070</v>
      </c>
      <c r="F347" s="10" t="s">
        <v>935</v>
      </c>
      <c r="G347" s="10" t="s">
        <v>22</v>
      </c>
      <c r="H347" s="10" t="s">
        <v>1071</v>
      </c>
      <c r="I347" s="10" t="s">
        <v>56</v>
      </c>
      <c r="J347" s="12" t="s">
        <v>1072</v>
      </c>
      <c r="K347" s="19" t="s">
        <v>22</v>
      </c>
      <c r="L347" s="10" t="s">
        <v>108</v>
      </c>
      <c r="M347" s="11">
        <v>46006</v>
      </c>
      <c r="N347" s="11">
        <f>M347</f>
        <v>46006</v>
      </c>
      <c r="O347" s="10" t="s">
        <v>27</v>
      </c>
      <c r="P347" s="10" t="s">
        <v>38</v>
      </c>
      <c r="Q347" s="10"/>
      <c r="R347" s="14">
        <v>2</v>
      </c>
    </row>
    <row r="348" spans="1:18" x14ac:dyDescent="0.25">
      <c r="A348" s="21">
        <v>17</v>
      </c>
      <c r="B348" s="9" t="s">
        <v>1073</v>
      </c>
      <c r="C348" s="10" t="s">
        <v>19</v>
      </c>
      <c r="D348" s="11">
        <v>46007</v>
      </c>
      <c r="E348" s="10" t="s">
        <v>314</v>
      </c>
      <c r="F348" s="10" t="s">
        <v>42</v>
      </c>
      <c r="G348" s="10" t="s">
        <v>22</v>
      </c>
      <c r="H348" s="10" t="s">
        <v>1074</v>
      </c>
      <c r="I348" s="10" t="s">
        <v>23</v>
      </c>
      <c r="J348" s="12" t="s">
        <v>1075</v>
      </c>
      <c r="K348" s="19" t="s">
        <v>22</v>
      </c>
      <c r="L348" s="10" t="s">
        <v>26</v>
      </c>
      <c r="M348" s="11">
        <f>D348+1</f>
        <v>46008</v>
      </c>
      <c r="N348" s="11">
        <f>M348</f>
        <v>46008</v>
      </c>
      <c r="O348" s="10" t="s">
        <v>27</v>
      </c>
      <c r="P348" s="10" t="s">
        <v>28</v>
      </c>
      <c r="Q348" s="10"/>
      <c r="R348" s="14">
        <v>2</v>
      </c>
    </row>
    <row r="349" spans="1:18" x14ac:dyDescent="0.25">
      <c r="A349" s="21">
        <v>18</v>
      </c>
      <c r="B349" s="9" t="s">
        <v>1076</v>
      </c>
      <c r="C349" s="10" t="s">
        <v>19</v>
      </c>
      <c r="D349" s="11">
        <v>46008</v>
      </c>
      <c r="E349" s="10" t="s">
        <v>314</v>
      </c>
      <c r="F349" s="10" t="s">
        <v>42</v>
      </c>
      <c r="G349" s="10" t="s">
        <v>22</v>
      </c>
      <c r="H349" s="10" t="s">
        <v>337</v>
      </c>
      <c r="I349" s="10" t="s">
        <v>68</v>
      </c>
      <c r="J349" s="12" t="s">
        <v>1077</v>
      </c>
      <c r="K349" s="19" t="s">
        <v>22</v>
      </c>
      <c r="L349" s="10" t="s">
        <v>26</v>
      </c>
      <c r="M349" s="11">
        <f>D349+2</f>
        <v>46010</v>
      </c>
      <c r="N349" s="11">
        <f>M349+4</f>
        <v>46014</v>
      </c>
      <c r="O349" s="10" t="s">
        <v>27</v>
      </c>
      <c r="P349" s="10" t="s">
        <v>28</v>
      </c>
      <c r="Q349" s="10"/>
      <c r="R349" s="14">
        <v>2</v>
      </c>
    </row>
    <row r="350" spans="1:18" x14ac:dyDescent="0.25">
      <c r="A350" s="21">
        <v>19</v>
      </c>
      <c r="B350" s="9" t="s">
        <v>1078</v>
      </c>
      <c r="C350" s="10" t="s">
        <v>49</v>
      </c>
      <c r="D350" s="11">
        <v>46007</v>
      </c>
      <c r="E350" s="10" t="s">
        <v>1079</v>
      </c>
      <c r="F350" s="10" t="s">
        <v>1080</v>
      </c>
      <c r="G350" s="10" t="s">
        <v>22</v>
      </c>
      <c r="H350" s="10" t="s">
        <v>1081</v>
      </c>
      <c r="I350" s="10" t="s">
        <v>56</v>
      </c>
      <c r="J350" s="12" t="s">
        <v>1082</v>
      </c>
      <c r="K350" s="19" t="s">
        <v>22</v>
      </c>
      <c r="L350" s="10" t="s">
        <v>108</v>
      </c>
      <c r="M350" s="11">
        <v>46007</v>
      </c>
      <c r="N350" s="11">
        <v>46007</v>
      </c>
      <c r="O350" s="10" t="s">
        <v>27</v>
      </c>
      <c r="P350" s="10" t="s">
        <v>28</v>
      </c>
      <c r="Q350" s="10"/>
      <c r="R350" s="14">
        <v>4</v>
      </c>
    </row>
    <row r="351" spans="1:18" x14ac:dyDescent="0.25">
      <c r="A351" s="21">
        <v>20</v>
      </c>
      <c r="B351" s="9" t="s">
        <v>1083</v>
      </c>
      <c r="C351" s="10" t="s">
        <v>19</v>
      </c>
      <c r="D351" s="11">
        <v>46010</v>
      </c>
      <c r="E351" s="10" t="s">
        <v>1084</v>
      </c>
      <c r="F351" s="10" t="s">
        <v>21</v>
      </c>
      <c r="G351" s="10" t="s">
        <v>22</v>
      </c>
      <c r="H351" s="10" t="s">
        <v>417</v>
      </c>
      <c r="I351" s="10" t="s">
        <v>23</v>
      </c>
      <c r="J351" s="12" t="s">
        <v>1085</v>
      </c>
      <c r="K351" s="19" t="s">
        <v>22</v>
      </c>
      <c r="L351" s="10" t="s">
        <v>89</v>
      </c>
      <c r="M351" s="11">
        <f>D351+21</f>
        <v>46031</v>
      </c>
      <c r="N351" s="11">
        <f>M351+5</f>
        <v>46036</v>
      </c>
      <c r="O351" s="10" t="s">
        <v>27</v>
      </c>
      <c r="P351" s="10" t="s">
        <v>45</v>
      </c>
      <c r="Q351" s="10"/>
      <c r="R351" s="14">
        <v>4</v>
      </c>
    </row>
    <row r="352" spans="1:18" x14ac:dyDescent="0.25">
      <c r="A352" s="21">
        <v>21</v>
      </c>
      <c r="B352" s="9" t="s">
        <v>1086</v>
      </c>
      <c r="C352" s="10" t="s">
        <v>35</v>
      </c>
      <c r="D352" s="11">
        <v>46003</v>
      </c>
      <c r="E352" s="10" t="s">
        <v>119</v>
      </c>
      <c r="F352" s="10" t="s">
        <v>21</v>
      </c>
      <c r="G352" s="10" t="s">
        <v>22</v>
      </c>
      <c r="H352" s="10" t="s">
        <v>1087</v>
      </c>
      <c r="I352" s="10" t="s">
        <v>23</v>
      </c>
      <c r="J352" s="12" t="s">
        <v>1088</v>
      </c>
      <c r="K352" s="19" t="s">
        <v>22</v>
      </c>
      <c r="L352" s="10" t="s">
        <v>73</v>
      </c>
      <c r="M352" s="11">
        <v>45999</v>
      </c>
      <c r="N352" s="11">
        <v>45999</v>
      </c>
      <c r="O352" s="10" t="s">
        <v>27</v>
      </c>
      <c r="P352" s="10" t="s">
        <v>28</v>
      </c>
      <c r="Q352" s="10"/>
      <c r="R352" s="14">
        <v>3</v>
      </c>
    </row>
    <row r="353" spans="1:19" x14ac:dyDescent="0.25">
      <c r="A353" s="21">
        <v>22</v>
      </c>
      <c r="B353" s="9" t="s">
        <v>1089</v>
      </c>
      <c r="C353" s="10" t="s">
        <v>35</v>
      </c>
      <c r="D353" s="11">
        <v>45992</v>
      </c>
      <c r="E353" s="10" t="s">
        <v>119</v>
      </c>
      <c r="F353" s="10" t="s">
        <v>21</v>
      </c>
      <c r="G353" s="10" t="s">
        <v>22</v>
      </c>
      <c r="H353" s="10" t="s">
        <v>203</v>
      </c>
      <c r="I353" s="10" t="s">
        <v>23</v>
      </c>
      <c r="J353" s="12" t="s">
        <v>1090</v>
      </c>
      <c r="K353" s="19" t="s">
        <v>22</v>
      </c>
      <c r="L353" s="10" t="s">
        <v>73</v>
      </c>
      <c r="M353" s="11">
        <v>45992</v>
      </c>
      <c r="N353" s="11">
        <v>45992</v>
      </c>
      <c r="O353" s="10" t="s">
        <v>27</v>
      </c>
      <c r="P353" s="10" t="s">
        <v>28</v>
      </c>
      <c r="Q353" s="10"/>
      <c r="R353" s="14">
        <v>8</v>
      </c>
      <c r="S353" s="24">
        <f>SUM(R332:R353)</f>
        <v>83</v>
      </c>
    </row>
    <row r="354" spans="1:19" x14ac:dyDescent="0.25">
      <c r="A354" s="25">
        <v>1</v>
      </c>
      <c r="B354" s="9" t="s">
        <v>1091</v>
      </c>
      <c r="C354" s="10" t="s">
        <v>19</v>
      </c>
      <c r="D354" s="11">
        <v>46027</v>
      </c>
      <c r="E354" s="10" t="s">
        <v>957</v>
      </c>
      <c r="F354" s="10" t="s">
        <v>86</v>
      </c>
      <c r="G354" s="10" t="s">
        <v>22</v>
      </c>
      <c r="H354" s="10" t="s">
        <v>63</v>
      </c>
      <c r="I354" s="10" t="s">
        <v>63</v>
      </c>
      <c r="J354" s="12" t="s">
        <v>1092</v>
      </c>
      <c r="K354" s="19" t="s">
        <v>22</v>
      </c>
      <c r="L354" s="10" t="s">
        <v>26</v>
      </c>
      <c r="M354" s="11">
        <f>D354+1</f>
        <v>46028</v>
      </c>
      <c r="N354" s="11">
        <f>M354-1</f>
        <v>46027</v>
      </c>
      <c r="O354" s="10" t="s">
        <v>27</v>
      </c>
      <c r="P354" s="10" t="s">
        <v>28</v>
      </c>
      <c r="Q354" s="10"/>
      <c r="R354" s="14">
        <v>1</v>
      </c>
    </row>
    <row r="355" spans="1:19" x14ac:dyDescent="0.25">
      <c r="A355" s="25">
        <v>2</v>
      </c>
      <c r="B355" s="9" t="s">
        <v>1093</v>
      </c>
      <c r="C355" s="10" t="s">
        <v>19</v>
      </c>
      <c r="D355" s="11">
        <v>46028</v>
      </c>
      <c r="E355" s="10" t="s">
        <v>1094</v>
      </c>
      <c r="F355" s="10" t="s">
        <v>62</v>
      </c>
      <c r="G355" s="10" t="s">
        <v>22</v>
      </c>
      <c r="H355" s="10" t="s">
        <v>1095</v>
      </c>
      <c r="I355" s="10" t="s">
        <v>23</v>
      </c>
      <c r="J355" s="12" t="s">
        <v>1096</v>
      </c>
      <c r="K355" s="19" t="s">
        <v>22</v>
      </c>
      <c r="L355" s="10" t="s">
        <v>79</v>
      </c>
      <c r="M355" s="11">
        <f>D355</f>
        <v>46028</v>
      </c>
      <c r="N355" s="11">
        <f>M355</f>
        <v>46028</v>
      </c>
      <c r="O355" s="10" t="s">
        <v>39</v>
      </c>
      <c r="P355" s="10" t="s">
        <v>28</v>
      </c>
      <c r="Q355" s="10"/>
      <c r="R355" s="14">
        <v>5</v>
      </c>
    </row>
    <row r="356" spans="1:19" x14ac:dyDescent="0.25">
      <c r="A356" s="25">
        <v>3</v>
      </c>
      <c r="B356" s="9" t="s">
        <v>1097</v>
      </c>
      <c r="C356" s="10" t="s">
        <v>35</v>
      </c>
      <c r="D356" s="11">
        <v>46028</v>
      </c>
      <c r="E356" s="10" t="s">
        <v>220</v>
      </c>
      <c r="F356" s="10" t="s">
        <v>21</v>
      </c>
      <c r="G356" s="10" t="s">
        <v>22</v>
      </c>
      <c r="H356" s="10" t="s">
        <v>1098</v>
      </c>
      <c r="I356" s="10" t="s">
        <v>23</v>
      </c>
      <c r="J356" s="12" t="s">
        <v>1099</v>
      </c>
      <c r="K356" s="19" t="s">
        <v>22</v>
      </c>
      <c r="L356" s="10" t="s">
        <v>89</v>
      </c>
      <c r="M356" s="11">
        <f>D356</f>
        <v>46028</v>
      </c>
      <c r="N356" s="11">
        <f>M356</f>
        <v>46028</v>
      </c>
      <c r="O356" s="10" t="s">
        <v>27</v>
      </c>
      <c r="P356" s="10" t="s">
        <v>28</v>
      </c>
      <c r="Q356" s="10"/>
      <c r="R356" s="14">
        <v>1</v>
      </c>
    </row>
    <row r="357" spans="1:19" x14ac:dyDescent="0.25">
      <c r="A357" s="25">
        <v>4</v>
      </c>
      <c r="B357" s="9" t="s">
        <v>1100</v>
      </c>
      <c r="C357" s="10" t="s">
        <v>49</v>
      </c>
      <c r="D357" s="11">
        <v>45997</v>
      </c>
      <c r="E357" s="10" t="s">
        <v>159</v>
      </c>
      <c r="F357" s="10" t="s">
        <v>21</v>
      </c>
      <c r="G357" s="10" t="s">
        <v>22</v>
      </c>
      <c r="H357" s="10" t="s">
        <v>902</v>
      </c>
      <c r="I357" s="10" t="s">
        <v>50</v>
      </c>
      <c r="J357" s="12" t="s">
        <v>1101</v>
      </c>
      <c r="K357" s="19" t="s">
        <v>22</v>
      </c>
      <c r="L357" s="10" t="s">
        <v>69</v>
      </c>
      <c r="M357" s="11">
        <f>D357+2</f>
        <v>45999</v>
      </c>
      <c r="N357" s="11">
        <f>M357+35</f>
        <v>46034</v>
      </c>
      <c r="O357" s="10" t="s">
        <v>27</v>
      </c>
      <c r="P357" s="10" t="s">
        <v>28</v>
      </c>
      <c r="Q357" s="10"/>
      <c r="R357" s="14">
        <v>4</v>
      </c>
    </row>
    <row r="358" spans="1:19" x14ac:dyDescent="0.25">
      <c r="A358" s="25">
        <v>5</v>
      </c>
      <c r="B358" s="9" t="s">
        <v>1102</v>
      </c>
      <c r="C358" s="10" t="s">
        <v>19</v>
      </c>
      <c r="D358" s="11">
        <v>46027</v>
      </c>
      <c r="E358" s="10" t="s">
        <v>454</v>
      </c>
      <c r="F358" s="10" t="s">
        <v>86</v>
      </c>
      <c r="G358" s="10" t="s">
        <v>22</v>
      </c>
      <c r="H358" s="10"/>
      <c r="I358" s="10" t="s">
        <v>23</v>
      </c>
      <c r="J358" s="12" t="s">
        <v>1103</v>
      </c>
      <c r="K358" s="19" t="s">
        <v>22</v>
      </c>
      <c r="L358" s="10" t="s">
        <v>44</v>
      </c>
      <c r="M358" s="11">
        <f>D358+5</f>
        <v>46032</v>
      </c>
      <c r="N358" s="11">
        <f>M358+14</f>
        <v>46046</v>
      </c>
      <c r="O358" s="10" t="s">
        <v>27</v>
      </c>
      <c r="P358" s="10" t="s">
        <v>28</v>
      </c>
      <c r="Q358" s="10"/>
      <c r="R358" s="14">
        <v>10</v>
      </c>
    </row>
    <row r="359" spans="1:19" x14ac:dyDescent="0.25">
      <c r="A359" s="25">
        <v>6</v>
      </c>
      <c r="B359" s="9" t="s">
        <v>1104</v>
      </c>
      <c r="C359" s="10" t="s">
        <v>19</v>
      </c>
      <c r="D359" s="11">
        <v>46030</v>
      </c>
      <c r="E359" s="10" t="s">
        <v>1105</v>
      </c>
      <c r="F359" s="10" t="s">
        <v>386</v>
      </c>
      <c r="G359" s="10" t="s">
        <v>22</v>
      </c>
      <c r="H359" s="10" t="s">
        <v>1106</v>
      </c>
      <c r="I359" s="10" t="s">
        <v>23</v>
      </c>
      <c r="J359" s="12" t="s">
        <v>1107</v>
      </c>
      <c r="K359" s="19" t="s">
        <v>22</v>
      </c>
      <c r="L359" s="10" t="s">
        <v>99</v>
      </c>
      <c r="M359" s="11">
        <f>D359+5</f>
        <v>46035</v>
      </c>
      <c r="N359" s="11">
        <f>M359</f>
        <v>46035</v>
      </c>
      <c r="O359" s="10" t="s">
        <v>27</v>
      </c>
      <c r="P359" s="10" t="s">
        <v>28</v>
      </c>
      <c r="Q359" s="10"/>
      <c r="R359" s="14">
        <v>6</v>
      </c>
    </row>
    <row r="360" spans="1:19" x14ac:dyDescent="0.25">
      <c r="A360" s="25">
        <v>7</v>
      </c>
      <c r="B360" s="9" t="s">
        <v>1108</v>
      </c>
      <c r="C360" s="10" t="s">
        <v>35</v>
      </c>
      <c r="D360" s="11">
        <v>46030</v>
      </c>
      <c r="E360" s="10" t="s">
        <v>1109</v>
      </c>
      <c r="F360" s="10" t="s">
        <v>21</v>
      </c>
      <c r="G360" s="10" t="s">
        <v>22</v>
      </c>
      <c r="H360" s="10" t="s">
        <v>1110</v>
      </c>
      <c r="I360" s="10" t="s">
        <v>56</v>
      </c>
      <c r="J360" s="12" t="s">
        <v>1111</v>
      </c>
      <c r="K360" s="19" t="s">
        <v>22</v>
      </c>
      <c r="L360" s="10" t="s">
        <v>108</v>
      </c>
      <c r="M360" s="11">
        <v>46030</v>
      </c>
      <c r="N360" s="11">
        <f>M360</f>
        <v>46030</v>
      </c>
      <c r="O360" s="10" t="s">
        <v>27</v>
      </c>
      <c r="P360" s="10" t="s">
        <v>65</v>
      </c>
      <c r="Q360" s="10"/>
      <c r="R360" s="14">
        <v>9</v>
      </c>
    </row>
    <row r="361" spans="1:19" x14ac:dyDescent="0.25">
      <c r="A361" s="25">
        <v>8</v>
      </c>
      <c r="B361" s="9" t="s">
        <v>1112</v>
      </c>
      <c r="C361" s="10" t="s">
        <v>19</v>
      </c>
      <c r="D361" s="11">
        <v>46031</v>
      </c>
      <c r="E361" s="10" t="s">
        <v>306</v>
      </c>
      <c r="F361" s="10" t="s">
        <v>21</v>
      </c>
      <c r="G361" s="10" t="s">
        <v>22</v>
      </c>
      <c r="H361" s="10"/>
      <c r="I361" s="10" t="s">
        <v>23</v>
      </c>
      <c r="J361" s="12" t="s">
        <v>1113</v>
      </c>
      <c r="K361" s="19" t="s">
        <v>22</v>
      </c>
      <c r="L361" s="10" t="s">
        <v>117</v>
      </c>
      <c r="M361" s="11">
        <f>D361+5</f>
        <v>46036</v>
      </c>
      <c r="N361" s="11">
        <f t="shared" ref="N361:N364" si="26">M361</f>
        <v>46036</v>
      </c>
      <c r="O361" s="10" t="s">
        <v>27</v>
      </c>
      <c r="P361" s="10" t="s">
        <v>58</v>
      </c>
      <c r="Q361" s="10"/>
      <c r="R361" s="14">
        <v>2</v>
      </c>
    </row>
    <row r="362" spans="1:19" x14ac:dyDescent="0.25">
      <c r="A362" s="25">
        <v>9</v>
      </c>
      <c r="B362" s="9" t="s">
        <v>1114</v>
      </c>
      <c r="C362" s="10" t="s">
        <v>35</v>
      </c>
      <c r="D362" s="11">
        <v>46034</v>
      </c>
      <c r="E362" s="10" t="s">
        <v>1084</v>
      </c>
      <c r="F362" s="10" t="s">
        <v>21</v>
      </c>
      <c r="G362" s="10" t="s">
        <v>22</v>
      </c>
      <c r="H362" s="10" t="s">
        <v>1115</v>
      </c>
      <c r="I362" s="10" t="s">
        <v>23</v>
      </c>
      <c r="J362" s="12" t="s">
        <v>1116</v>
      </c>
      <c r="K362" s="19" t="s">
        <v>22</v>
      </c>
      <c r="L362" s="10" t="s">
        <v>73</v>
      </c>
      <c r="M362" s="11">
        <v>46036</v>
      </c>
      <c r="N362" s="11">
        <f t="shared" si="26"/>
        <v>46036</v>
      </c>
      <c r="O362" s="10" t="s">
        <v>27</v>
      </c>
      <c r="P362" s="10" t="s">
        <v>38</v>
      </c>
      <c r="Q362" s="10"/>
      <c r="R362" s="14">
        <v>3</v>
      </c>
    </row>
    <row r="363" spans="1:19" x14ac:dyDescent="0.25">
      <c r="A363" s="25">
        <v>10</v>
      </c>
      <c r="B363" s="9" t="s">
        <v>1117</v>
      </c>
      <c r="C363" s="10" t="s">
        <v>35</v>
      </c>
      <c r="D363" s="11">
        <v>46034</v>
      </c>
      <c r="E363" s="10" t="s">
        <v>119</v>
      </c>
      <c r="F363" s="10" t="s">
        <v>21</v>
      </c>
      <c r="G363" s="10" t="s">
        <v>22</v>
      </c>
      <c r="H363" s="10" t="s">
        <v>1118</v>
      </c>
      <c r="I363" s="10" t="s">
        <v>23</v>
      </c>
      <c r="J363" s="12" t="s">
        <v>1119</v>
      </c>
      <c r="K363" s="19" t="s">
        <v>22</v>
      </c>
      <c r="L363" s="10" t="s">
        <v>73</v>
      </c>
      <c r="M363" s="11">
        <v>46036</v>
      </c>
      <c r="N363" s="11">
        <f t="shared" si="26"/>
        <v>46036</v>
      </c>
      <c r="O363" s="10" t="s">
        <v>27</v>
      </c>
      <c r="P363" s="10" t="s">
        <v>45</v>
      </c>
      <c r="Q363" s="10"/>
      <c r="R363" s="14">
        <v>4</v>
      </c>
    </row>
    <row r="364" spans="1:19" x14ac:dyDescent="0.25">
      <c r="A364" s="25">
        <v>11</v>
      </c>
      <c r="B364" s="9" t="s">
        <v>1120</v>
      </c>
      <c r="C364" s="10" t="s">
        <v>35</v>
      </c>
      <c r="D364" s="11">
        <v>46034</v>
      </c>
      <c r="E364" s="10" t="s">
        <v>220</v>
      </c>
      <c r="F364" s="10" t="s">
        <v>21</v>
      </c>
      <c r="G364" s="10" t="s">
        <v>22</v>
      </c>
      <c r="H364" s="10" t="s">
        <v>1121</v>
      </c>
      <c r="I364" s="10" t="s">
        <v>23</v>
      </c>
      <c r="J364" s="12" t="s">
        <v>1122</v>
      </c>
      <c r="K364" s="19" t="s">
        <v>22</v>
      </c>
      <c r="L364" s="10" t="s">
        <v>73</v>
      </c>
      <c r="M364" s="11">
        <v>46036</v>
      </c>
      <c r="N364" s="11">
        <f t="shared" si="26"/>
        <v>46036</v>
      </c>
      <c r="O364" s="10" t="s">
        <v>27</v>
      </c>
      <c r="P364" s="10" t="s">
        <v>38</v>
      </c>
      <c r="Q364" s="10"/>
      <c r="R364" s="14">
        <v>2</v>
      </c>
    </row>
    <row r="365" spans="1:19" x14ac:dyDescent="0.25">
      <c r="A365" s="25">
        <v>12</v>
      </c>
      <c r="B365" s="9" t="s">
        <v>1123</v>
      </c>
      <c r="C365" s="10" t="s">
        <v>35</v>
      </c>
      <c r="D365" s="11">
        <v>46034</v>
      </c>
      <c r="E365" s="10" t="s">
        <v>1109</v>
      </c>
      <c r="F365" s="10" t="s">
        <v>21</v>
      </c>
      <c r="G365" s="10" t="s">
        <v>22</v>
      </c>
      <c r="H365" s="10" t="s">
        <v>1110</v>
      </c>
      <c r="I365" s="10" t="s">
        <v>56</v>
      </c>
      <c r="J365" s="12" t="s">
        <v>1124</v>
      </c>
      <c r="K365" s="19" t="s">
        <v>22</v>
      </c>
      <c r="L365" s="10" t="s">
        <v>108</v>
      </c>
      <c r="M365" s="11">
        <v>46034</v>
      </c>
      <c r="N365" s="11">
        <v>46035</v>
      </c>
      <c r="O365" s="10" t="s">
        <v>27</v>
      </c>
      <c r="P365" s="10" t="s">
        <v>28</v>
      </c>
      <c r="Q365" s="10"/>
      <c r="R365" s="14">
        <v>5</v>
      </c>
    </row>
    <row r="366" spans="1:19" x14ac:dyDescent="0.25">
      <c r="A366" s="25">
        <v>13</v>
      </c>
      <c r="B366" s="9" t="s">
        <v>1125</v>
      </c>
      <c r="C366" s="10" t="s">
        <v>19</v>
      </c>
      <c r="D366" s="11">
        <v>46035</v>
      </c>
      <c r="E366" s="10" t="s">
        <v>1126</v>
      </c>
      <c r="F366" s="10" t="s">
        <v>184</v>
      </c>
      <c r="G366" s="10" t="s">
        <v>22</v>
      </c>
      <c r="H366" s="28" t="s">
        <v>1127</v>
      </c>
      <c r="I366" s="10" t="s">
        <v>72</v>
      </c>
      <c r="J366" s="12" t="s">
        <v>1128</v>
      </c>
      <c r="K366" s="19" t="s">
        <v>22</v>
      </c>
      <c r="L366" s="10" t="s">
        <v>26</v>
      </c>
      <c r="M366" s="11">
        <f>D366+4</f>
        <v>46039</v>
      </c>
      <c r="N366" s="11">
        <f>M366+2</f>
        <v>46041</v>
      </c>
      <c r="O366" s="10" t="s">
        <v>27</v>
      </c>
      <c r="P366" s="10" t="s">
        <v>58</v>
      </c>
      <c r="Q366" s="10"/>
      <c r="R366" s="14">
        <v>8</v>
      </c>
    </row>
    <row r="367" spans="1:19" x14ac:dyDescent="0.25">
      <c r="A367" s="25">
        <v>14</v>
      </c>
      <c r="B367" s="9" t="s">
        <v>1129</v>
      </c>
      <c r="C367" s="10" t="s">
        <v>19</v>
      </c>
      <c r="D367" s="11">
        <v>46035</v>
      </c>
      <c r="E367" s="10" t="s">
        <v>705</v>
      </c>
      <c r="F367" s="10" t="s">
        <v>21</v>
      </c>
      <c r="G367" s="10" t="s">
        <v>22</v>
      </c>
      <c r="H367" s="10" t="s">
        <v>859</v>
      </c>
      <c r="I367" s="10" t="s">
        <v>56</v>
      </c>
      <c r="J367" s="12" t="s">
        <v>1130</v>
      </c>
      <c r="K367" s="19" t="s">
        <v>22</v>
      </c>
      <c r="L367" s="10" t="s">
        <v>26</v>
      </c>
      <c r="M367" s="11">
        <f>D367+7</f>
        <v>46042</v>
      </c>
      <c r="N367" s="11">
        <f>M367+21</f>
        <v>46063</v>
      </c>
      <c r="O367" s="10" t="s">
        <v>27</v>
      </c>
      <c r="P367" s="10" t="s">
        <v>28</v>
      </c>
      <c r="Q367" s="10"/>
      <c r="R367" s="14">
        <v>4</v>
      </c>
    </row>
    <row r="368" spans="1:19" x14ac:dyDescent="0.25">
      <c r="A368" s="25">
        <v>15</v>
      </c>
      <c r="B368" s="9" t="s">
        <v>1131</v>
      </c>
      <c r="C368" s="10" t="s">
        <v>35</v>
      </c>
      <c r="D368" s="11">
        <v>46038</v>
      </c>
      <c r="E368" s="10" t="s">
        <v>116</v>
      </c>
      <c r="F368" s="10" t="s">
        <v>21</v>
      </c>
      <c r="G368" s="10" t="s">
        <v>22</v>
      </c>
      <c r="H368" s="10" t="s">
        <v>1132</v>
      </c>
      <c r="I368" s="10" t="s">
        <v>23</v>
      </c>
      <c r="J368" s="12" t="s">
        <v>1133</v>
      </c>
      <c r="K368" s="19" t="s">
        <v>22</v>
      </c>
      <c r="L368" s="10" t="s">
        <v>73</v>
      </c>
      <c r="M368" s="11">
        <f>D368+7</f>
        <v>46045</v>
      </c>
      <c r="N368" s="11">
        <f>M368+14</f>
        <v>46059</v>
      </c>
      <c r="O368" s="10" t="s">
        <v>27</v>
      </c>
      <c r="P368" s="10" t="s">
        <v>58</v>
      </c>
      <c r="Q368" s="10"/>
      <c r="R368" s="14">
        <v>1</v>
      </c>
    </row>
    <row r="369" spans="1:19" x14ac:dyDescent="0.25">
      <c r="A369" s="25">
        <v>16</v>
      </c>
      <c r="B369" s="9" t="s">
        <v>1134</v>
      </c>
      <c r="C369" s="10" t="s">
        <v>49</v>
      </c>
      <c r="D369" s="11">
        <v>46038</v>
      </c>
      <c r="E369" s="10" t="s">
        <v>159</v>
      </c>
      <c r="F369" s="10" t="s">
        <v>21</v>
      </c>
      <c r="G369" s="10" t="s">
        <v>22</v>
      </c>
      <c r="H369" s="10" t="s">
        <v>1135</v>
      </c>
      <c r="I369" s="10" t="s">
        <v>50</v>
      </c>
      <c r="J369" s="12" t="s">
        <v>1136</v>
      </c>
      <c r="K369" s="19" t="s">
        <v>22</v>
      </c>
      <c r="L369" s="10" t="s">
        <v>108</v>
      </c>
      <c r="M369" s="11">
        <f>D369+10</f>
        <v>46048</v>
      </c>
      <c r="N369" s="11">
        <f>M369</f>
        <v>46048</v>
      </c>
      <c r="O369" s="10" t="s">
        <v>27</v>
      </c>
      <c r="P369" s="10" t="s">
        <v>65</v>
      </c>
      <c r="Q369" s="10"/>
      <c r="R369" s="14">
        <v>10</v>
      </c>
    </row>
    <row r="370" spans="1:19" x14ac:dyDescent="0.25">
      <c r="A370" s="25">
        <v>17</v>
      </c>
      <c r="B370" s="9" t="s">
        <v>1137</v>
      </c>
      <c r="C370" s="10" t="s">
        <v>19</v>
      </c>
      <c r="D370" s="11">
        <v>46043</v>
      </c>
      <c r="E370" s="10" t="s">
        <v>1084</v>
      </c>
      <c r="F370" s="10" t="s">
        <v>21</v>
      </c>
      <c r="G370" s="10" t="s">
        <v>22</v>
      </c>
      <c r="H370" s="10" t="s">
        <v>1138</v>
      </c>
      <c r="I370" s="10" t="s">
        <v>23</v>
      </c>
      <c r="J370" s="12" t="s">
        <v>1139</v>
      </c>
      <c r="K370" s="29" t="s">
        <v>25</v>
      </c>
      <c r="L370" s="10" t="s">
        <v>26</v>
      </c>
      <c r="M370" s="11">
        <f>D370+7</f>
        <v>46050</v>
      </c>
      <c r="N370" s="11">
        <f>M370</f>
        <v>46050</v>
      </c>
      <c r="O370" s="10" t="s">
        <v>27</v>
      </c>
      <c r="P370" s="10" t="s">
        <v>58</v>
      </c>
      <c r="Q370" s="10"/>
      <c r="R370" s="14">
        <v>4</v>
      </c>
    </row>
    <row r="371" spans="1:19" x14ac:dyDescent="0.25">
      <c r="A371" s="25">
        <v>18</v>
      </c>
      <c r="B371" s="9" t="s">
        <v>1140</v>
      </c>
      <c r="C371" s="10" t="s">
        <v>49</v>
      </c>
      <c r="D371" s="11">
        <v>46044</v>
      </c>
      <c r="E371" s="10" t="s">
        <v>1141</v>
      </c>
      <c r="F371" s="10" t="s">
        <v>410</v>
      </c>
      <c r="G371" s="10" t="s">
        <v>22</v>
      </c>
      <c r="H371" s="10" t="s">
        <v>496</v>
      </c>
      <c r="I371" s="10" t="s">
        <v>56</v>
      </c>
      <c r="J371" s="12" t="s">
        <v>1142</v>
      </c>
      <c r="K371" s="19" t="s">
        <v>22</v>
      </c>
      <c r="L371" s="10" t="s">
        <v>108</v>
      </c>
      <c r="M371" s="11">
        <v>46050</v>
      </c>
      <c r="N371" s="11">
        <f>M371</f>
        <v>46050</v>
      </c>
      <c r="O371" s="10" t="s">
        <v>46</v>
      </c>
      <c r="P371" s="10" t="s">
        <v>28</v>
      </c>
      <c r="Q371" s="10"/>
      <c r="R371" s="14">
        <v>20</v>
      </c>
    </row>
    <row r="372" spans="1:19" x14ac:dyDescent="0.25">
      <c r="A372" s="25">
        <v>19</v>
      </c>
      <c r="B372" s="9" t="s">
        <v>1143</v>
      </c>
      <c r="C372" s="10" t="s">
        <v>35</v>
      </c>
      <c r="D372" s="11">
        <v>46050</v>
      </c>
      <c r="E372" s="10" t="s">
        <v>119</v>
      </c>
      <c r="F372" s="10" t="s">
        <v>21</v>
      </c>
      <c r="G372" s="10" t="s">
        <v>22</v>
      </c>
      <c r="H372" s="10" t="s">
        <v>1144</v>
      </c>
      <c r="I372" s="10" t="s">
        <v>23</v>
      </c>
      <c r="J372" s="12" t="s">
        <v>1145</v>
      </c>
      <c r="K372" s="19" t="s">
        <v>22</v>
      </c>
      <c r="L372" s="10" t="s">
        <v>73</v>
      </c>
      <c r="M372" s="11">
        <v>46050</v>
      </c>
      <c r="N372" s="11">
        <v>46050</v>
      </c>
      <c r="O372" s="10" t="s">
        <v>27</v>
      </c>
      <c r="P372" s="10" t="s">
        <v>28</v>
      </c>
      <c r="Q372" s="10"/>
      <c r="R372" s="14">
        <v>3</v>
      </c>
    </row>
    <row r="373" spans="1:19" x14ac:dyDescent="0.25">
      <c r="A373" s="25">
        <v>20</v>
      </c>
      <c r="B373" s="9" t="s">
        <v>1146</v>
      </c>
      <c r="C373" s="10" t="s">
        <v>35</v>
      </c>
      <c r="D373" s="11">
        <v>46050</v>
      </c>
      <c r="E373" s="10" t="s">
        <v>119</v>
      </c>
      <c r="F373" s="10" t="s">
        <v>21</v>
      </c>
      <c r="G373" s="10" t="s">
        <v>22</v>
      </c>
      <c r="H373" s="10" t="s">
        <v>340</v>
      </c>
      <c r="I373" s="10" t="s">
        <v>23</v>
      </c>
      <c r="J373" s="12" t="s">
        <v>1147</v>
      </c>
      <c r="K373" s="19" t="s">
        <v>22</v>
      </c>
      <c r="L373" s="10" t="s">
        <v>73</v>
      </c>
      <c r="M373" s="11">
        <v>46050</v>
      </c>
      <c r="N373" s="11"/>
      <c r="O373" s="10" t="s">
        <v>27</v>
      </c>
      <c r="P373" s="10" t="s">
        <v>31</v>
      </c>
      <c r="Q373" s="10"/>
      <c r="R373" s="14">
        <v>3</v>
      </c>
    </row>
    <row r="374" spans="1:19" x14ac:dyDescent="0.25">
      <c r="A374" s="25">
        <v>21</v>
      </c>
      <c r="B374" s="9" t="s">
        <v>1148</v>
      </c>
      <c r="C374" s="10" t="s">
        <v>35</v>
      </c>
      <c r="D374" s="11">
        <v>46043</v>
      </c>
      <c r="E374" s="10" t="s">
        <v>220</v>
      </c>
      <c r="F374" s="10" t="s">
        <v>21</v>
      </c>
      <c r="G374" s="10" t="s">
        <v>22</v>
      </c>
      <c r="H374" s="10" t="s">
        <v>1121</v>
      </c>
      <c r="I374" s="10" t="s">
        <v>23</v>
      </c>
      <c r="J374" s="12" t="s">
        <v>1149</v>
      </c>
      <c r="K374" s="19" t="s">
        <v>22</v>
      </c>
      <c r="L374" s="10" t="s">
        <v>73</v>
      </c>
      <c r="M374" s="11">
        <v>46043</v>
      </c>
      <c r="N374" s="11">
        <v>46043</v>
      </c>
      <c r="O374" s="10" t="s">
        <v>27</v>
      </c>
      <c r="P374" s="10" t="s">
        <v>65</v>
      </c>
      <c r="Q374" s="10"/>
      <c r="R374" s="14">
        <v>3</v>
      </c>
    </row>
    <row r="375" spans="1:19" x14ac:dyDescent="0.25">
      <c r="A375" s="25">
        <v>22</v>
      </c>
      <c r="B375" s="9" t="s">
        <v>1150</v>
      </c>
      <c r="C375" s="10" t="s">
        <v>35</v>
      </c>
      <c r="D375" s="11">
        <v>46043</v>
      </c>
      <c r="E375" s="10" t="s">
        <v>220</v>
      </c>
      <c r="F375" s="10" t="s">
        <v>21</v>
      </c>
      <c r="G375" s="10" t="s">
        <v>22</v>
      </c>
      <c r="H375" s="10" t="s">
        <v>371</v>
      </c>
      <c r="I375" s="10" t="s">
        <v>23</v>
      </c>
      <c r="J375" s="12" t="s">
        <v>1151</v>
      </c>
      <c r="K375" s="19" t="s">
        <v>22</v>
      </c>
      <c r="L375" s="10" t="s">
        <v>73</v>
      </c>
      <c r="M375" s="11">
        <v>46043</v>
      </c>
      <c r="N375" s="11">
        <v>46043</v>
      </c>
      <c r="O375" s="10" t="s">
        <v>27</v>
      </c>
      <c r="P375" s="10" t="s">
        <v>65</v>
      </c>
      <c r="Q375" s="10"/>
      <c r="R375" s="14">
        <v>2</v>
      </c>
    </row>
    <row r="376" spans="1:19" x14ac:dyDescent="0.25">
      <c r="A376" s="25">
        <v>23</v>
      </c>
      <c r="B376" s="9" t="s">
        <v>1152</v>
      </c>
      <c r="C376" s="10" t="s">
        <v>35</v>
      </c>
      <c r="D376" s="11">
        <v>46042</v>
      </c>
      <c r="E376" s="10" t="s">
        <v>119</v>
      </c>
      <c r="F376" s="10" t="s">
        <v>21</v>
      </c>
      <c r="G376" s="10" t="s">
        <v>22</v>
      </c>
      <c r="H376" s="10" t="s">
        <v>203</v>
      </c>
      <c r="I376" s="10" t="s">
        <v>23</v>
      </c>
      <c r="J376" s="12" t="s">
        <v>1153</v>
      </c>
      <c r="K376" s="19" t="s">
        <v>22</v>
      </c>
      <c r="L376" s="10" t="s">
        <v>73</v>
      </c>
      <c r="M376" s="11">
        <v>46042</v>
      </c>
      <c r="N376" s="11">
        <v>46042</v>
      </c>
      <c r="O376" s="10" t="s">
        <v>39</v>
      </c>
      <c r="P376" s="10" t="s">
        <v>65</v>
      </c>
      <c r="Q376" s="10"/>
      <c r="R376" s="14">
        <v>4</v>
      </c>
    </row>
    <row r="377" spans="1:19" x14ac:dyDescent="0.25">
      <c r="A377" s="25">
        <v>24</v>
      </c>
      <c r="B377" s="9" t="s">
        <v>1154</v>
      </c>
      <c r="C377" s="10" t="s">
        <v>35</v>
      </c>
      <c r="D377" s="11">
        <v>46042</v>
      </c>
      <c r="E377" s="10" t="s">
        <v>116</v>
      </c>
      <c r="F377" s="10" t="s">
        <v>21</v>
      </c>
      <c r="G377" s="10" t="s">
        <v>22</v>
      </c>
      <c r="H377" s="10" t="s">
        <v>1155</v>
      </c>
      <c r="I377" s="10" t="s">
        <v>23</v>
      </c>
      <c r="J377" s="12" t="s">
        <v>1156</v>
      </c>
      <c r="K377" s="19" t="s">
        <v>22</v>
      </c>
      <c r="L377" s="10" t="s">
        <v>73</v>
      </c>
      <c r="M377" s="11">
        <v>46042</v>
      </c>
      <c r="N377" s="11">
        <v>46042</v>
      </c>
      <c r="O377" s="10" t="s">
        <v>27</v>
      </c>
      <c r="P377" s="10" t="s">
        <v>58</v>
      </c>
      <c r="Q377" s="10"/>
      <c r="R377" s="14">
        <v>2</v>
      </c>
    </row>
    <row r="378" spans="1:19" x14ac:dyDescent="0.25">
      <c r="A378" s="25">
        <v>25</v>
      </c>
      <c r="B378" s="9" t="s">
        <v>1157</v>
      </c>
      <c r="C378" s="10" t="s">
        <v>35</v>
      </c>
      <c r="D378" s="11">
        <v>46035</v>
      </c>
      <c r="E378" s="10" t="s">
        <v>220</v>
      </c>
      <c r="F378" s="10" t="s">
        <v>21</v>
      </c>
      <c r="G378" s="10" t="s">
        <v>22</v>
      </c>
      <c r="H378" s="10" t="s">
        <v>232</v>
      </c>
      <c r="I378" s="10" t="s">
        <v>23</v>
      </c>
      <c r="J378" s="12" t="s">
        <v>1158</v>
      </c>
      <c r="K378" s="19" t="s">
        <v>22</v>
      </c>
      <c r="L378" s="10" t="s">
        <v>73</v>
      </c>
      <c r="M378" s="11">
        <v>46035</v>
      </c>
      <c r="N378" s="11">
        <v>46035</v>
      </c>
      <c r="O378" s="10" t="s">
        <v>27</v>
      </c>
      <c r="P378" s="10" t="s">
        <v>65</v>
      </c>
      <c r="Q378" s="10"/>
      <c r="R378" s="14">
        <v>3</v>
      </c>
    </row>
    <row r="379" spans="1:19" x14ac:dyDescent="0.25">
      <c r="A379" s="25">
        <v>26</v>
      </c>
      <c r="B379" s="9" t="s">
        <v>1159</v>
      </c>
      <c r="C379" s="10" t="s">
        <v>19</v>
      </c>
      <c r="D379" s="11">
        <v>46050</v>
      </c>
      <c r="E379" s="10" t="s">
        <v>1160</v>
      </c>
      <c r="F379" s="10" t="s">
        <v>62</v>
      </c>
      <c r="G379" s="10" t="s">
        <v>22</v>
      </c>
      <c r="H379" s="10" t="s">
        <v>1161</v>
      </c>
      <c r="I379" s="10" t="s">
        <v>63</v>
      </c>
      <c r="J379" s="12" t="s">
        <v>1162</v>
      </c>
      <c r="K379" s="29" t="s">
        <v>25</v>
      </c>
      <c r="L379" s="10" t="s">
        <v>26</v>
      </c>
      <c r="M379" s="11">
        <f>D379+7</f>
        <v>46057</v>
      </c>
      <c r="N379" s="11">
        <f>M379</f>
        <v>46057</v>
      </c>
      <c r="O379" s="10" t="s">
        <v>39</v>
      </c>
      <c r="P379" s="10" t="s">
        <v>28</v>
      </c>
      <c r="Q379" s="10"/>
      <c r="R379" s="14">
        <v>8</v>
      </c>
    </row>
    <row r="380" spans="1:19" x14ac:dyDescent="0.25">
      <c r="A380" s="25">
        <v>27</v>
      </c>
      <c r="B380" s="9" t="s">
        <v>1163</v>
      </c>
      <c r="C380" s="10" t="s">
        <v>19</v>
      </c>
      <c r="D380" s="11">
        <v>46050</v>
      </c>
      <c r="E380" s="10" t="s">
        <v>941</v>
      </c>
      <c r="F380" s="10" t="s">
        <v>21</v>
      </c>
      <c r="G380" s="10"/>
      <c r="H380" s="10" t="s">
        <v>1164</v>
      </c>
      <c r="I380" s="10"/>
      <c r="J380" s="12" t="s">
        <v>1165</v>
      </c>
      <c r="K380" s="19" t="s">
        <v>22</v>
      </c>
      <c r="L380" s="10" t="s">
        <v>37</v>
      </c>
      <c r="M380" s="11"/>
      <c r="N380" s="11"/>
      <c r="O380" s="10" t="s">
        <v>27</v>
      </c>
      <c r="P380" s="10" t="s">
        <v>31</v>
      </c>
      <c r="Q380" s="10"/>
      <c r="R380" s="14">
        <v>1</v>
      </c>
    </row>
    <row r="381" spans="1:19" x14ac:dyDescent="0.25">
      <c r="A381" s="25">
        <v>28</v>
      </c>
      <c r="B381" s="9" t="s">
        <v>1166</v>
      </c>
      <c r="C381" s="10" t="s">
        <v>19</v>
      </c>
      <c r="D381" s="11"/>
      <c r="E381" s="10" t="s">
        <v>941</v>
      </c>
      <c r="F381" s="10"/>
      <c r="G381" s="10"/>
      <c r="H381" s="10"/>
      <c r="I381" s="10"/>
      <c r="J381" s="12" t="s">
        <v>1167</v>
      </c>
      <c r="K381" s="19" t="s">
        <v>22</v>
      </c>
      <c r="L381" s="10" t="s">
        <v>79</v>
      </c>
      <c r="M381" s="11"/>
      <c r="N381" s="11"/>
      <c r="O381" s="10" t="s">
        <v>27</v>
      </c>
      <c r="P381" s="10" t="s">
        <v>38</v>
      </c>
      <c r="Q381" s="10"/>
      <c r="R381" s="14">
        <v>2</v>
      </c>
    </row>
    <row r="382" spans="1:19" x14ac:dyDescent="0.25">
      <c r="A382" s="25">
        <v>29</v>
      </c>
      <c r="B382" s="9" t="s">
        <v>1168</v>
      </c>
      <c r="C382" s="10" t="s">
        <v>19</v>
      </c>
      <c r="D382" s="11"/>
      <c r="E382" s="10" t="s">
        <v>822</v>
      </c>
      <c r="F382" s="10"/>
      <c r="G382" s="10"/>
      <c r="H382" s="10"/>
      <c r="I382" s="10"/>
      <c r="J382" s="12" t="s">
        <v>1169</v>
      </c>
      <c r="K382" s="19" t="s">
        <v>22</v>
      </c>
      <c r="L382" s="10" t="s">
        <v>117</v>
      </c>
      <c r="M382" s="11">
        <f>D382+7</f>
        <v>7</v>
      </c>
      <c r="N382" s="11">
        <f t="shared" ref="N382" si="27">M382</f>
        <v>7</v>
      </c>
      <c r="O382" s="10" t="s">
        <v>27</v>
      </c>
      <c r="P382" s="10" t="s">
        <v>58</v>
      </c>
      <c r="Q382" s="10"/>
      <c r="R382" s="14">
        <v>2</v>
      </c>
    </row>
    <row r="383" spans="1:19" x14ac:dyDescent="0.25">
      <c r="A383" s="25">
        <v>30</v>
      </c>
      <c r="B383" s="9" t="s">
        <v>1170</v>
      </c>
      <c r="C383" s="10" t="s">
        <v>49</v>
      </c>
      <c r="D383" s="11">
        <v>46051</v>
      </c>
      <c r="E383" s="10" t="s">
        <v>211</v>
      </c>
      <c r="F383" s="10" t="s">
        <v>21</v>
      </c>
      <c r="G383" s="10" t="s">
        <v>22</v>
      </c>
      <c r="H383" s="10" t="s">
        <v>1171</v>
      </c>
      <c r="I383" s="10" t="s">
        <v>56</v>
      </c>
      <c r="J383" s="12" t="s">
        <v>1172</v>
      </c>
      <c r="K383" s="19" t="s">
        <v>22</v>
      </c>
      <c r="L383" s="10" t="s">
        <v>108</v>
      </c>
      <c r="M383" s="11">
        <v>46052</v>
      </c>
      <c r="N383" s="11">
        <v>46052</v>
      </c>
      <c r="O383" s="10" t="s">
        <v>27</v>
      </c>
      <c r="P383" s="10" t="s">
        <v>28</v>
      </c>
      <c r="Q383" s="17" t="s">
        <v>1173</v>
      </c>
      <c r="R383" s="14">
        <v>11</v>
      </c>
      <c r="S383" s="24">
        <f>SUM(R333:R383)</f>
        <v>222</v>
      </c>
    </row>
    <row r="384" spans="1:19" x14ac:dyDescent="0.25">
      <c r="A384" s="21">
        <v>1</v>
      </c>
      <c r="B384" s="9" t="s">
        <v>1174</v>
      </c>
      <c r="C384" s="10" t="s">
        <v>19</v>
      </c>
      <c r="D384" s="11">
        <v>46055</v>
      </c>
      <c r="E384" s="10" t="s">
        <v>1175</v>
      </c>
      <c r="F384" s="10" t="s">
        <v>42</v>
      </c>
      <c r="G384" s="10"/>
      <c r="H384" s="10" t="s">
        <v>1176</v>
      </c>
      <c r="I384" s="10"/>
      <c r="J384" s="12" t="s">
        <v>1177</v>
      </c>
      <c r="K384" s="19" t="s">
        <v>22</v>
      </c>
      <c r="L384" s="10" t="s">
        <v>37</v>
      </c>
      <c r="M384" s="11">
        <f>D384+7</f>
        <v>46062</v>
      </c>
      <c r="N384" s="11">
        <f t="shared" ref="N384" si="28">M384</f>
        <v>46062</v>
      </c>
      <c r="O384" s="10" t="s">
        <v>39</v>
      </c>
      <c r="P384" s="10" t="s">
        <v>58</v>
      </c>
      <c r="Q384" s="10"/>
      <c r="R384" s="14">
        <v>2</v>
      </c>
    </row>
    <row r="385" spans="1:18" x14ac:dyDescent="0.25">
      <c r="A385" s="21">
        <v>2</v>
      </c>
      <c r="B385" s="9" t="s">
        <v>1178</v>
      </c>
      <c r="C385" s="10" t="s">
        <v>49</v>
      </c>
      <c r="D385" s="11">
        <v>46057</v>
      </c>
      <c r="E385" s="10" t="s">
        <v>1179</v>
      </c>
      <c r="F385" s="10" t="s">
        <v>86</v>
      </c>
      <c r="G385" s="10" t="s">
        <v>22</v>
      </c>
      <c r="H385" s="10"/>
      <c r="I385" s="10" t="s">
        <v>56</v>
      </c>
      <c r="J385" s="12" t="s">
        <v>1180</v>
      </c>
      <c r="K385" s="19" t="s">
        <v>22</v>
      </c>
      <c r="L385" s="10" t="s">
        <v>108</v>
      </c>
      <c r="M385" s="11">
        <v>46057</v>
      </c>
      <c r="N385" s="11">
        <v>46057</v>
      </c>
      <c r="O385" s="10" t="s">
        <v>27</v>
      </c>
      <c r="P385" s="10" t="s">
        <v>28</v>
      </c>
      <c r="Q385" s="10"/>
      <c r="R385" s="14">
        <v>2</v>
      </c>
    </row>
    <row r="386" spans="1:18" x14ac:dyDescent="0.25">
      <c r="A386" s="21">
        <v>3</v>
      </c>
      <c r="B386" s="9" t="s">
        <v>1181</v>
      </c>
      <c r="C386" s="10" t="s">
        <v>49</v>
      </c>
      <c r="D386" s="11">
        <v>46057</v>
      </c>
      <c r="E386" s="10" t="s">
        <v>1182</v>
      </c>
      <c r="F386" s="10" t="s">
        <v>1062</v>
      </c>
      <c r="G386" s="10" t="s">
        <v>22</v>
      </c>
      <c r="H386" s="10"/>
      <c r="I386" s="10" t="s">
        <v>56</v>
      </c>
      <c r="J386" s="12" t="s">
        <v>1183</v>
      </c>
      <c r="K386" s="19" t="s">
        <v>22</v>
      </c>
      <c r="L386" s="10" t="s">
        <v>108</v>
      </c>
      <c r="M386" s="11">
        <v>46057</v>
      </c>
      <c r="N386" s="11">
        <v>46057</v>
      </c>
      <c r="O386" s="10" t="s">
        <v>27</v>
      </c>
      <c r="P386" s="10" t="s">
        <v>28</v>
      </c>
      <c r="Q386" s="10"/>
      <c r="R386" s="14">
        <v>3</v>
      </c>
    </row>
    <row r="387" spans="1:18" x14ac:dyDescent="0.25">
      <c r="A387" s="21">
        <v>4</v>
      </c>
      <c r="B387" s="9" t="s">
        <v>1184</v>
      </c>
      <c r="C387" s="10" t="s">
        <v>29</v>
      </c>
      <c r="D387" s="11">
        <v>46073</v>
      </c>
      <c r="E387" s="10" t="s">
        <v>1185</v>
      </c>
      <c r="F387" s="10"/>
      <c r="G387" s="10"/>
      <c r="H387" s="10"/>
      <c r="I387" s="10"/>
      <c r="J387" s="12" t="s">
        <v>1186</v>
      </c>
      <c r="K387" s="19" t="s">
        <v>22</v>
      </c>
      <c r="L387" s="10" t="s">
        <v>26</v>
      </c>
      <c r="M387" s="11">
        <f>D387+4</f>
        <v>46077</v>
      </c>
      <c r="N387" s="11">
        <f>M387</f>
        <v>46077</v>
      </c>
      <c r="O387" s="10" t="s">
        <v>27</v>
      </c>
      <c r="P387" s="10" t="s">
        <v>58</v>
      </c>
      <c r="Q387" s="10"/>
      <c r="R387" s="14">
        <v>8</v>
      </c>
    </row>
    <row r="388" spans="1:18" x14ac:dyDescent="0.25">
      <c r="A388" s="21">
        <v>5</v>
      </c>
      <c r="B388" s="9" t="s">
        <v>1187</v>
      </c>
      <c r="C388" s="10" t="s">
        <v>19</v>
      </c>
      <c r="D388" s="11">
        <v>46059</v>
      </c>
      <c r="E388" s="10" t="s">
        <v>1013</v>
      </c>
      <c r="F388" s="10"/>
      <c r="G388" s="10"/>
      <c r="H388" s="10"/>
      <c r="I388" s="10"/>
      <c r="J388" s="12" t="s">
        <v>1188</v>
      </c>
      <c r="K388" s="19" t="s">
        <v>22</v>
      </c>
      <c r="L388" s="10" t="s">
        <v>26</v>
      </c>
      <c r="M388" s="11">
        <f>D388+4</f>
        <v>46063</v>
      </c>
      <c r="N388" s="11">
        <f>M388</f>
        <v>46063</v>
      </c>
      <c r="O388" s="10" t="s">
        <v>27</v>
      </c>
      <c r="P388" s="10" t="s">
        <v>58</v>
      </c>
      <c r="Q388" s="10"/>
      <c r="R388" s="14">
        <v>2</v>
      </c>
    </row>
    <row r="389" spans="1:18" x14ac:dyDescent="0.25">
      <c r="A389" s="21">
        <v>6</v>
      </c>
      <c r="B389" s="9" t="s">
        <v>1189</v>
      </c>
      <c r="C389" s="10" t="s">
        <v>49</v>
      </c>
      <c r="D389" s="11">
        <v>46058</v>
      </c>
      <c r="E389" s="10" t="s">
        <v>1182</v>
      </c>
      <c r="F389" s="10" t="s">
        <v>1062</v>
      </c>
      <c r="G389" s="10" t="s">
        <v>22</v>
      </c>
      <c r="H389" s="10"/>
      <c r="I389" s="10" t="s">
        <v>56</v>
      </c>
      <c r="J389" s="12" t="s">
        <v>1190</v>
      </c>
      <c r="K389" s="19" t="s">
        <v>22</v>
      </c>
      <c r="L389" s="10" t="s">
        <v>108</v>
      </c>
      <c r="M389" s="11">
        <v>46058</v>
      </c>
      <c r="N389" s="11">
        <v>46058</v>
      </c>
      <c r="O389" s="10" t="s">
        <v>27</v>
      </c>
      <c r="P389" s="10" t="s">
        <v>28</v>
      </c>
      <c r="Q389" s="10"/>
      <c r="R389" s="14">
        <v>3</v>
      </c>
    </row>
    <row r="390" spans="1:18" x14ac:dyDescent="0.25">
      <c r="A390" s="21">
        <v>7</v>
      </c>
      <c r="B390" s="9" t="s">
        <v>1191</v>
      </c>
      <c r="C390" s="10" t="s">
        <v>49</v>
      </c>
      <c r="D390" s="11">
        <v>46066</v>
      </c>
      <c r="E390" s="10" t="s">
        <v>211</v>
      </c>
      <c r="F390" s="10" t="s">
        <v>21</v>
      </c>
      <c r="G390" s="10" t="s">
        <v>22</v>
      </c>
      <c r="H390" s="10"/>
      <c r="I390" s="10" t="s">
        <v>56</v>
      </c>
      <c r="J390" s="12" t="s">
        <v>1192</v>
      </c>
      <c r="K390" s="19" t="s">
        <v>22</v>
      </c>
      <c r="L390" s="10" t="s">
        <v>108</v>
      </c>
      <c r="M390" s="11">
        <f>D390+3</f>
        <v>46069</v>
      </c>
      <c r="N390" s="11">
        <v>46069</v>
      </c>
      <c r="O390" s="10" t="s">
        <v>27</v>
      </c>
      <c r="P390" s="10" t="s">
        <v>38</v>
      </c>
      <c r="Q390" s="10"/>
      <c r="R390" s="14">
        <v>7</v>
      </c>
    </row>
    <row r="391" spans="1:18" x14ac:dyDescent="0.25">
      <c r="A391" s="21">
        <v>8</v>
      </c>
      <c r="B391" s="9" t="s">
        <v>1193</v>
      </c>
      <c r="C391" s="10" t="s">
        <v>49</v>
      </c>
      <c r="D391" s="11">
        <v>46071</v>
      </c>
      <c r="E391" s="10" t="s">
        <v>211</v>
      </c>
      <c r="F391" s="10" t="s">
        <v>21</v>
      </c>
      <c r="G391" s="10" t="s">
        <v>22</v>
      </c>
      <c r="H391" s="10"/>
      <c r="I391" s="10" t="s">
        <v>56</v>
      </c>
      <c r="J391" s="12" t="s">
        <v>1194</v>
      </c>
      <c r="K391" s="19" t="s">
        <v>22</v>
      </c>
      <c r="L391" s="10" t="s">
        <v>108</v>
      </c>
      <c r="M391" s="11">
        <v>46072</v>
      </c>
      <c r="N391" s="11">
        <f>M391</f>
        <v>46072</v>
      </c>
      <c r="O391" s="10" t="s">
        <v>27</v>
      </c>
      <c r="P391" s="10" t="s">
        <v>38</v>
      </c>
      <c r="Q391" s="10"/>
      <c r="R391" s="14">
        <v>6</v>
      </c>
    </row>
    <row r="392" spans="1:18" x14ac:dyDescent="0.25">
      <c r="A392" s="21">
        <v>9</v>
      </c>
      <c r="B392" s="9" t="s">
        <v>1195</v>
      </c>
      <c r="C392" s="10" t="s">
        <v>35</v>
      </c>
      <c r="D392" s="11">
        <v>46051</v>
      </c>
      <c r="E392" s="10" t="s">
        <v>588</v>
      </c>
      <c r="F392" s="10" t="s">
        <v>21</v>
      </c>
      <c r="G392" s="10" t="s">
        <v>22</v>
      </c>
      <c r="H392" s="10" t="s">
        <v>254</v>
      </c>
      <c r="I392" s="10" t="s">
        <v>23</v>
      </c>
      <c r="J392" s="12" t="s">
        <v>1196</v>
      </c>
      <c r="K392" s="19" t="s">
        <v>22</v>
      </c>
      <c r="L392" s="10" t="s">
        <v>73</v>
      </c>
      <c r="M392" s="11">
        <v>46051</v>
      </c>
      <c r="N392" s="11">
        <v>46051</v>
      </c>
      <c r="O392" s="10" t="s">
        <v>27</v>
      </c>
      <c r="P392" s="10" t="s">
        <v>38</v>
      </c>
      <c r="Q392" s="10"/>
      <c r="R392" s="14">
        <v>3</v>
      </c>
    </row>
    <row r="393" spans="1:18" x14ac:dyDescent="0.25">
      <c r="A393" s="21">
        <v>10</v>
      </c>
      <c r="B393" s="9" t="s">
        <v>1197</v>
      </c>
      <c r="C393" s="10" t="s">
        <v>35</v>
      </c>
      <c r="D393" s="11">
        <v>46051</v>
      </c>
      <c r="E393" s="10" t="s">
        <v>588</v>
      </c>
      <c r="F393" s="10" t="s">
        <v>1198</v>
      </c>
      <c r="G393" s="10" t="s">
        <v>22</v>
      </c>
      <c r="H393" s="10" t="s">
        <v>1199</v>
      </c>
      <c r="I393" s="10" t="s">
        <v>23</v>
      </c>
      <c r="J393" s="12" t="s">
        <v>1200</v>
      </c>
      <c r="K393" s="19" t="s">
        <v>22</v>
      </c>
      <c r="L393" s="10" t="s">
        <v>73</v>
      </c>
      <c r="M393" s="11">
        <v>46051</v>
      </c>
      <c r="N393" s="11">
        <v>46051</v>
      </c>
      <c r="O393" s="10" t="s">
        <v>27</v>
      </c>
      <c r="P393" s="10" t="s">
        <v>28</v>
      </c>
      <c r="Q393" s="10"/>
      <c r="R393" s="14">
        <v>3</v>
      </c>
    </row>
    <row r="394" spans="1:18" x14ac:dyDescent="0.25">
      <c r="A394" s="21">
        <v>11</v>
      </c>
      <c r="B394" s="9" t="s">
        <v>1201</v>
      </c>
      <c r="C394" s="10" t="s">
        <v>35</v>
      </c>
      <c r="D394" s="11">
        <v>46069</v>
      </c>
      <c r="E394" s="10" t="s">
        <v>1202</v>
      </c>
      <c r="F394" s="10" t="s">
        <v>21</v>
      </c>
      <c r="G394" s="10" t="s">
        <v>22</v>
      </c>
      <c r="H394" s="10" t="s">
        <v>1115</v>
      </c>
      <c r="I394" s="10" t="s">
        <v>23</v>
      </c>
      <c r="J394" s="12" t="s">
        <v>1203</v>
      </c>
      <c r="K394" s="19" t="s">
        <v>22</v>
      </c>
      <c r="L394" s="10" t="s">
        <v>73</v>
      </c>
      <c r="M394" s="11">
        <v>46069</v>
      </c>
      <c r="N394" s="11">
        <v>46069</v>
      </c>
      <c r="O394" s="10" t="s">
        <v>27</v>
      </c>
      <c r="P394" s="10" t="s">
        <v>65</v>
      </c>
      <c r="Q394" s="10"/>
      <c r="R394" s="14">
        <v>10</v>
      </c>
    </row>
    <row r="395" spans="1:18" x14ac:dyDescent="0.25">
      <c r="A395" s="21">
        <v>12</v>
      </c>
      <c r="B395" s="9" t="s">
        <v>1204</v>
      </c>
      <c r="C395" s="10" t="s">
        <v>35</v>
      </c>
      <c r="D395" s="11">
        <v>46070</v>
      </c>
      <c r="E395" s="10" t="s">
        <v>588</v>
      </c>
      <c r="F395" s="10" t="s">
        <v>21</v>
      </c>
      <c r="G395" s="10" t="s">
        <v>22</v>
      </c>
      <c r="H395" s="10" t="s">
        <v>1205</v>
      </c>
      <c r="I395" s="10" t="s">
        <v>23</v>
      </c>
      <c r="J395" s="12" t="s">
        <v>1206</v>
      </c>
      <c r="K395" s="19" t="s">
        <v>22</v>
      </c>
      <c r="L395" s="10" t="s">
        <v>73</v>
      </c>
      <c r="M395" s="11">
        <v>46070</v>
      </c>
      <c r="N395" s="11">
        <v>46070</v>
      </c>
      <c r="O395" s="10" t="s">
        <v>27</v>
      </c>
      <c r="P395" s="10" t="s">
        <v>28</v>
      </c>
      <c r="Q395" s="10"/>
      <c r="R395" s="14">
        <v>3</v>
      </c>
    </row>
    <row r="396" spans="1:18" x14ac:dyDescent="0.25">
      <c r="A396" s="21">
        <v>13</v>
      </c>
      <c r="B396" s="9" t="s">
        <v>1207</v>
      </c>
      <c r="C396" s="10" t="s">
        <v>35</v>
      </c>
      <c r="D396" s="11">
        <v>46073</v>
      </c>
      <c r="E396" s="10" t="s">
        <v>1208</v>
      </c>
      <c r="F396" s="10" t="s">
        <v>21</v>
      </c>
      <c r="G396" s="10" t="s">
        <v>22</v>
      </c>
      <c r="H396" s="10" t="s">
        <v>1132</v>
      </c>
      <c r="I396" s="10" t="s">
        <v>23</v>
      </c>
      <c r="J396" s="12" t="s">
        <v>1209</v>
      </c>
      <c r="K396" s="19" t="s">
        <v>22</v>
      </c>
      <c r="L396" s="10" t="s">
        <v>73</v>
      </c>
      <c r="M396" s="11">
        <v>46073</v>
      </c>
      <c r="N396" s="11">
        <v>46073</v>
      </c>
      <c r="O396" s="10" t="s">
        <v>27</v>
      </c>
      <c r="P396" s="10" t="s">
        <v>45</v>
      </c>
      <c r="Q396" s="10"/>
      <c r="R396" s="14">
        <v>2</v>
      </c>
    </row>
    <row r="397" spans="1:18" x14ac:dyDescent="0.25">
      <c r="A397" s="21">
        <v>14</v>
      </c>
      <c r="B397" s="9" t="s">
        <v>1210</v>
      </c>
      <c r="C397" s="10" t="s">
        <v>35</v>
      </c>
      <c r="D397" s="11">
        <v>46073</v>
      </c>
      <c r="E397" s="10" t="s">
        <v>1208</v>
      </c>
      <c r="F397" s="10" t="s">
        <v>21</v>
      </c>
      <c r="G397" s="10" t="s">
        <v>22</v>
      </c>
      <c r="H397" s="10" t="s">
        <v>1132</v>
      </c>
      <c r="I397" s="10" t="s">
        <v>23</v>
      </c>
      <c r="J397" s="12" t="s">
        <v>1211</v>
      </c>
      <c r="K397" s="19" t="s">
        <v>22</v>
      </c>
      <c r="L397" s="10" t="s">
        <v>73</v>
      </c>
      <c r="M397" s="11">
        <v>46073</v>
      </c>
      <c r="N397" s="11">
        <v>46073</v>
      </c>
      <c r="O397" s="10" t="s">
        <v>27</v>
      </c>
      <c r="P397" s="10" t="s">
        <v>38</v>
      </c>
      <c r="Q397" s="10"/>
      <c r="R397" s="14">
        <v>8</v>
      </c>
    </row>
    <row r="398" spans="1:18" x14ac:dyDescent="0.25">
      <c r="A398" s="21">
        <v>15</v>
      </c>
      <c r="B398" s="9" t="s">
        <v>1212</v>
      </c>
      <c r="C398" s="10" t="s">
        <v>49</v>
      </c>
      <c r="D398" s="11">
        <v>46077</v>
      </c>
      <c r="E398" s="10" t="s">
        <v>211</v>
      </c>
      <c r="F398" s="10" t="s">
        <v>21</v>
      </c>
      <c r="G398" s="10" t="s">
        <v>22</v>
      </c>
      <c r="H398" s="10" t="s">
        <v>928</v>
      </c>
      <c r="I398" s="10" t="s">
        <v>56</v>
      </c>
      <c r="J398" s="12" t="s">
        <v>1213</v>
      </c>
      <c r="K398" s="19" t="s">
        <v>22</v>
      </c>
      <c r="L398" s="10" t="s">
        <v>108</v>
      </c>
      <c r="M398" s="11">
        <v>46077</v>
      </c>
      <c r="N398" s="11">
        <f>M398</f>
        <v>46077</v>
      </c>
      <c r="O398" s="10" t="s">
        <v>39</v>
      </c>
      <c r="P398" s="10" t="s">
        <v>38</v>
      </c>
      <c r="Q398" s="10"/>
      <c r="R398" s="14">
        <v>5</v>
      </c>
    </row>
    <row r="399" spans="1:18" x14ac:dyDescent="0.25">
      <c r="A399" s="21">
        <v>16</v>
      </c>
      <c r="B399" s="9" t="s">
        <v>1214</v>
      </c>
      <c r="C399" s="10" t="s">
        <v>49</v>
      </c>
      <c r="D399" s="11">
        <v>46078</v>
      </c>
      <c r="E399" s="10" t="s">
        <v>1215</v>
      </c>
      <c r="F399" s="10" t="s">
        <v>1080</v>
      </c>
      <c r="G399" s="10" t="s">
        <v>22</v>
      </c>
      <c r="H399" s="10" t="s">
        <v>1081</v>
      </c>
      <c r="I399" s="10" t="s">
        <v>56</v>
      </c>
      <c r="J399" s="12" t="s">
        <v>1216</v>
      </c>
      <c r="K399" s="19" t="s">
        <v>22</v>
      </c>
      <c r="L399" s="10" t="s">
        <v>108</v>
      </c>
      <c r="M399" s="11">
        <v>46078</v>
      </c>
      <c r="N399" s="11">
        <f t="shared" ref="N399:N400" si="29">M399</f>
        <v>46078</v>
      </c>
      <c r="O399" s="10" t="s">
        <v>39</v>
      </c>
      <c r="P399" s="10" t="s">
        <v>28</v>
      </c>
      <c r="Q399" s="10"/>
      <c r="R399" s="14">
        <v>9</v>
      </c>
    </row>
    <row r="400" spans="1:18" x14ac:dyDescent="0.25">
      <c r="A400" s="21">
        <v>17</v>
      </c>
      <c r="B400" s="9" t="s">
        <v>1217</v>
      </c>
      <c r="C400" s="10" t="s">
        <v>19</v>
      </c>
      <c r="D400" s="11">
        <v>46078</v>
      </c>
      <c r="E400" s="10" t="s">
        <v>1218</v>
      </c>
      <c r="F400" s="10" t="s">
        <v>1219</v>
      </c>
      <c r="G400" s="10" t="s">
        <v>22</v>
      </c>
      <c r="H400" s="10" t="s">
        <v>1220</v>
      </c>
      <c r="I400" s="10" t="s">
        <v>50</v>
      </c>
      <c r="J400" s="12" t="s">
        <v>250</v>
      </c>
      <c r="K400" s="29" t="s">
        <v>25</v>
      </c>
      <c r="L400" s="10" t="s">
        <v>26</v>
      </c>
      <c r="M400" s="11">
        <f>D400+7</f>
        <v>46085</v>
      </c>
      <c r="N400" s="11">
        <f t="shared" si="29"/>
        <v>46085</v>
      </c>
      <c r="O400" s="10" t="s">
        <v>27</v>
      </c>
      <c r="P400" s="10" t="s">
        <v>58</v>
      </c>
      <c r="Q400" s="10"/>
      <c r="R400" s="14">
        <v>3</v>
      </c>
    </row>
    <row r="401" spans="1:19" x14ac:dyDescent="0.25">
      <c r="A401" s="21">
        <v>18</v>
      </c>
      <c r="B401" s="9" t="s">
        <v>1221</v>
      </c>
      <c r="C401" s="10" t="s">
        <v>19</v>
      </c>
      <c r="D401" s="11">
        <v>46078</v>
      </c>
      <c r="E401" s="10" t="s">
        <v>1222</v>
      </c>
      <c r="F401" s="10" t="s">
        <v>200</v>
      </c>
      <c r="G401" s="10" t="s">
        <v>22</v>
      </c>
      <c r="H401" s="10" t="s">
        <v>1223</v>
      </c>
      <c r="I401" s="10" t="s">
        <v>23</v>
      </c>
      <c r="J401" s="12" t="s">
        <v>1224</v>
      </c>
      <c r="K401" s="29" t="s">
        <v>25</v>
      </c>
      <c r="L401" s="10" t="s">
        <v>26</v>
      </c>
      <c r="M401" s="11">
        <f>D401+22</f>
        <v>46100</v>
      </c>
      <c r="N401" s="11">
        <f>M401+1</f>
        <v>46101</v>
      </c>
      <c r="O401" s="10" t="s">
        <v>27</v>
      </c>
      <c r="P401" s="10" t="s">
        <v>45</v>
      </c>
      <c r="Q401" s="10"/>
      <c r="R401" s="14">
        <v>6</v>
      </c>
    </row>
    <row r="402" spans="1:19" x14ac:dyDescent="0.25">
      <c r="A402" s="21">
        <v>19</v>
      </c>
      <c r="B402" s="9" t="s">
        <v>1225</v>
      </c>
      <c r="C402" s="10" t="s">
        <v>49</v>
      </c>
      <c r="D402" s="11">
        <v>46079</v>
      </c>
      <c r="E402" s="10" t="s">
        <v>949</v>
      </c>
      <c r="F402" s="10" t="s">
        <v>21</v>
      </c>
      <c r="G402" s="10" t="s">
        <v>22</v>
      </c>
      <c r="H402" s="10" t="s">
        <v>950</v>
      </c>
      <c r="I402" s="10" t="s">
        <v>56</v>
      </c>
      <c r="J402" s="12" t="s">
        <v>1226</v>
      </c>
      <c r="K402" s="19" t="s">
        <v>22</v>
      </c>
      <c r="L402" s="10" t="s">
        <v>108</v>
      </c>
      <c r="M402" s="11">
        <v>46079</v>
      </c>
      <c r="N402" s="11">
        <v>46079</v>
      </c>
      <c r="O402" s="10" t="s">
        <v>27</v>
      </c>
      <c r="P402" s="10" t="s">
        <v>28</v>
      </c>
      <c r="Q402" s="10"/>
      <c r="R402" s="14">
        <v>3</v>
      </c>
    </row>
    <row r="403" spans="1:19" x14ac:dyDescent="0.25">
      <c r="A403" s="21">
        <v>20</v>
      </c>
      <c r="B403" s="9" t="s">
        <v>1227</v>
      </c>
      <c r="C403" s="10" t="s">
        <v>49</v>
      </c>
      <c r="D403" s="11">
        <v>46079</v>
      </c>
      <c r="E403" s="10" t="s">
        <v>1228</v>
      </c>
      <c r="F403" s="10" t="s">
        <v>1062</v>
      </c>
      <c r="G403" s="10" t="s">
        <v>22</v>
      </c>
      <c r="H403" s="10" t="s">
        <v>1229</v>
      </c>
      <c r="I403" s="10" t="s">
        <v>56</v>
      </c>
      <c r="J403" s="12" t="s">
        <v>1230</v>
      </c>
      <c r="K403" s="19" t="s">
        <v>22</v>
      </c>
      <c r="L403" s="10" t="s">
        <v>108</v>
      </c>
      <c r="M403" s="11">
        <v>46079</v>
      </c>
      <c r="N403" s="11">
        <v>46079</v>
      </c>
      <c r="O403" s="10" t="s">
        <v>27</v>
      </c>
      <c r="P403" s="10" t="s">
        <v>28</v>
      </c>
      <c r="Q403" s="10"/>
      <c r="R403" s="14">
        <v>1</v>
      </c>
    </row>
    <row r="404" spans="1:19" x14ac:dyDescent="0.25">
      <c r="A404" s="21">
        <v>21</v>
      </c>
      <c r="B404" s="9" t="s">
        <v>1231</v>
      </c>
      <c r="C404" s="10" t="s">
        <v>35</v>
      </c>
      <c r="D404" s="11">
        <v>46079</v>
      </c>
      <c r="E404" s="10" t="s">
        <v>588</v>
      </c>
      <c r="F404" s="10" t="s">
        <v>21</v>
      </c>
      <c r="G404" s="10" t="s">
        <v>22</v>
      </c>
      <c r="H404" s="10" t="s">
        <v>1232</v>
      </c>
      <c r="I404" s="10" t="s">
        <v>23</v>
      </c>
      <c r="J404" s="12" t="s">
        <v>1233</v>
      </c>
      <c r="K404" s="19" t="s">
        <v>22</v>
      </c>
      <c r="L404" s="10" t="s">
        <v>73</v>
      </c>
      <c r="M404" s="11">
        <v>46079</v>
      </c>
      <c r="N404" s="11">
        <v>46079</v>
      </c>
      <c r="O404" s="10" t="s">
        <v>27</v>
      </c>
      <c r="P404" s="10" t="s">
        <v>45</v>
      </c>
      <c r="Q404" s="10"/>
      <c r="R404" s="14">
        <v>2</v>
      </c>
    </row>
    <row r="405" spans="1:19" x14ac:dyDescent="0.25">
      <c r="A405" s="21">
        <v>22</v>
      </c>
      <c r="B405" s="9" t="s">
        <v>1234</v>
      </c>
      <c r="C405" s="10" t="s">
        <v>35</v>
      </c>
      <c r="D405" s="11">
        <v>46079</v>
      </c>
      <c r="E405" s="10" t="s">
        <v>588</v>
      </c>
      <c r="F405" s="10" t="s">
        <v>21</v>
      </c>
      <c r="G405" s="10" t="s">
        <v>22</v>
      </c>
      <c r="H405" s="10" t="s">
        <v>1235</v>
      </c>
      <c r="I405" s="10" t="s">
        <v>23</v>
      </c>
      <c r="J405" s="12" t="s">
        <v>1236</v>
      </c>
      <c r="K405" s="19" t="s">
        <v>22</v>
      </c>
      <c r="L405" s="10" t="s">
        <v>73</v>
      </c>
      <c r="M405" s="11">
        <v>46079</v>
      </c>
      <c r="N405" s="11">
        <v>46079</v>
      </c>
      <c r="O405" s="10" t="s">
        <v>27</v>
      </c>
      <c r="P405" s="10" t="s">
        <v>45</v>
      </c>
      <c r="Q405" s="10"/>
      <c r="R405" s="14">
        <v>2</v>
      </c>
    </row>
    <row r="406" spans="1:19" x14ac:dyDescent="0.25">
      <c r="A406" s="21">
        <v>23</v>
      </c>
      <c r="B406" s="9" t="s">
        <v>1237</v>
      </c>
      <c r="C406" s="10" t="s">
        <v>35</v>
      </c>
      <c r="D406" s="11">
        <v>46073</v>
      </c>
      <c r="E406" s="10" t="s">
        <v>588</v>
      </c>
      <c r="F406" s="10" t="s">
        <v>21</v>
      </c>
      <c r="G406" s="10" t="s">
        <v>22</v>
      </c>
      <c r="H406" s="10" t="s">
        <v>1232</v>
      </c>
      <c r="I406" s="10" t="s">
        <v>23</v>
      </c>
      <c r="J406" s="12" t="s">
        <v>1238</v>
      </c>
      <c r="K406" s="19" t="s">
        <v>22</v>
      </c>
      <c r="L406" s="10" t="s">
        <v>73</v>
      </c>
      <c r="M406" s="11">
        <v>46079</v>
      </c>
      <c r="N406" s="11">
        <v>46079</v>
      </c>
      <c r="O406" s="10" t="s">
        <v>27</v>
      </c>
      <c r="P406" s="10" t="s">
        <v>38</v>
      </c>
      <c r="Q406" s="10"/>
      <c r="R406" s="14">
        <v>8</v>
      </c>
    </row>
    <row r="407" spans="1:19" x14ac:dyDescent="0.25">
      <c r="A407" s="21">
        <v>24</v>
      </c>
      <c r="B407" s="9" t="s">
        <v>1239</v>
      </c>
      <c r="C407" s="10" t="s">
        <v>35</v>
      </c>
      <c r="D407" s="11">
        <v>46073</v>
      </c>
      <c r="E407" s="10" t="s">
        <v>1240</v>
      </c>
      <c r="F407" s="10" t="s">
        <v>21</v>
      </c>
      <c r="G407" s="10" t="s">
        <v>22</v>
      </c>
      <c r="H407" s="10" t="s">
        <v>1132</v>
      </c>
      <c r="I407" s="10" t="s">
        <v>23</v>
      </c>
      <c r="J407" s="12" t="s">
        <v>1241</v>
      </c>
      <c r="K407" s="19" t="s">
        <v>22</v>
      </c>
      <c r="L407" s="10" t="s">
        <v>73</v>
      </c>
      <c r="M407" s="11">
        <v>46073</v>
      </c>
      <c r="N407" s="11">
        <v>46073</v>
      </c>
      <c r="O407" s="10" t="s">
        <v>27</v>
      </c>
      <c r="P407" s="10" t="s">
        <v>28</v>
      </c>
      <c r="Q407" s="10"/>
      <c r="R407" s="14">
        <v>3</v>
      </c>
    </row>
    <row r="408" spans="1:19" x14ac:dyDescent="0.25">
      <c r="A408" s="21">
        <v>25</v>
      </c>
      <c r="B408" s="9" t="s">
        <v>1242</v>
      </c>
      <c r="C408" s="10" t="s">
        <v>35</v>
      </c>
      <c r="D408" s="11">
        <v>46073</v>
      </c>
      <c r="E408" s="10" t="s">
        <v>1240</v>
      </c>
      <c r="F408" s="10" t="s">
        <v>21</v>
      </c>
      <c r="G408" s="10" t="s">
        <v>22</v>
      </c>
      <c r="H408" s="10" t="s">
        <v>1243</v>
      </c>
      <c r="I408" s="10" t="s">
        <v>23</v>
      </c>
      <c r="J408" s="12" t="s">
        <v>1244</v>
      </c>
      <c r="K408" s="19" t="s">
        <v>22</v>
      </c>
      <c r="L408" s="10" t="s">
        <v>73</v>
      </c>
      <c r="M408" s="11">
        <v>46073</v>
      </c>
      <c r="N408" s="11">
        <v>46073</v>
      </c>
      <c r="O408" s="10" t="s">
        <v>27</v>
      </c>
      <c r="P408" s="10" t="s">
        <v>58</v>
      </c>
      <c r="Q408" s="10"/>
      <c r="R408" s="14">
        <v>3</v>
      </c>
    </row>
    <row r="409" spans="1:19" x14ac:dyDescent="0.25">
      <c r="A409" s="21">
        <v>26</v>
      </c>
      <c r="B409" s="9" t="s">
        <v>1245</v>
      </c>
      <c r="C409" s="10" t="s">
        <v>19</v>
      </c>
      <c r="D409" s="11">
        <v>46079</v>
      </c>
      <c r="E409" s="10" t="s">
        <v>1246</v>
      </c>
      <c r="F409" s="10" t="s">
        <v>386</v>
      </c>
      <c r="G409" s="10" t="s">
        <v>22</v>
      </c>
      <c r="H409" s="10" t="s">
        <v>1106</v>
      </c>
      <c r="I409" s="10" t="s">
        <v>23</v>
      </c>
      <c r="J409" s="12" t="s">
        <v>250</v>
      </c>
      <c r="K409" s="29" t="s">
        <v>25</v>
      </c>
      <c r="L409" s="10" t="s">
        <v>26</v>
      </c>
      <c r="M409" s="11">
        <f>D409+7</f>
        <v>46086</v>
      </c>
      <c r="N409" s="11">
        <f>M409</f>
        <v>46086</v>
      </c>
      <c r="O409" s="10" t="s">
        <v>27</v>
      </c>
      <c r="P409" s="10" t="s">
        <v>58</v>
      </c>
      <c r="Q409" s="10"/>
      <c r="R409" s="14">
        <v>3</v>
      </c>
      <c r="S409" s="24">
        <f>SUM(R384:R409)</f>
        <v>110</v>
      </c>
    </row>
    <row r="410" spans="1:19" x14ac:dyDescent="0.25">
      <c r="A410" s="25">
        <v>1</v>
      </c>
      <c r="B410" s="9" t="s">
        <v>1247</v>
      </c>
      <c r="C410" s="10" t="s">
        <v>19</v>
      </c>
      <c r="D410" s="11">
        <v>46086</v>
      </c>
      <c r="E410" s="10" t="s">
        <v>1248</v>
      </c>
      <c r="F410" s="10" t="s">
        <v>21</v>
      </c>
      <c r="G410" s="10" t="s">
        <v>22</v>
      </c>
      <c r="H410" s="10" t="s">
        <v>1249</v>
      </c>
      <c r="I410" s="10" t="s">
        <v>23</v>
      </c>
      <c r="J410" s="12" t="s">
        <v>1250</v>
      </c>
      <c r="K410" s="29" t="s">
        <v>25</v>
      </c>
      <c r="L410" s="10" t="s">
        <v>26</v>
      </c>
      <c r="M410" s="11">
        <f>D410+7</f>
        <v>46093</v>
      </c>
      <c r="N410" s="11">
        <f>M410</f>
        <v>46093</v>
      </c>
      <c r="O410" s="10" t="s">
        <v>27</v>
      </c>
      <c r="P410" s="10" t="s">
        <v>58</v>
      </c>
      <c r="Q410" s="10"/>
      <c r="R410" s="14">
        <v>3</v>
      </c>
    </row>
    <row r="411" spans="1:19" x14ac:dyDescent="0.25">
      <c r="A411" s="25">
        <v>2</v>
      </c>
      <c r="B411" s="9" t="s">
        <v>1251</v>
      </c>
      <c r="C411" s="10" t="s">
        <v>35</v>
      </c>
      <c r="D411" s="11">
        <v>46090</v>
      </c>
      <c r="E411" s="10" t="s">
        <v>1240</v>
      </c>
      <c r="F411" s="10" t="s">
        <v>21</v>
      </c>
      <c r="G411" s="10" t="s">
        <v>22</v>
      </c>
      <c r="H411" s="10"/>
      <c r="I411" s="10" t="s">
        <v>23</v>
      </c>
      <c r="J411" s="12" t="s">
        <v>136</v>
      </c>
      <c r="K411" s="19" t="s">
        <v>22</v>
      </c>
      <c r="L411" s="10" t="s">
        <v>89</v>
      </c>
      <c r="M411" s="11">
        <f>D411+2</f>
        <v>46092</v>
      </c>
      <c r="N411" s="11">
        <f>M411</f>
        <v>46092</v>
      </c>
      <c r="O411" s="10" t="s">
        <v>27</v>
      </c>
      <c r="P411" s="10" t="s">
        <v>65</v>
      </c>
      <c r="Q411" s="10"/>
      <c r="R411" s="14">
        <v>2</v>
      </c>
    </row>
    <row r="412" spans="1:19" x14ac:dyDescent="0.25">
      <c r="A412" s="25">
        <v>3</v>
      </c>
      <c r="B412" s="9" t="s">
        <v>1252</v>
      </c>
      <c r="C412" s="10" t="s">
        <v>35</v>
      </c>
      <c r="D412" s="11">
        <v>46094</v>
      </c>
      <c r="E412" s="10" t="s">
        <v>224</v>
      </c>
      <c r="F412" s="10" t="s">
        <v>1253</v>
      </c>
      <c r="G412" s="10" t="s">
        <v>22</v>
      </c>
      <c r="H412" s="10" t="s">
        <v>1254</v>
      </c>
      <c r="I412" s="10" t="s">
        <v>23</v>
      </c>
      <c r="J412" s="12" t="s">
        <v>1255</v>
      </c>
      <c r="K412" s="19" t="s">
        <v>22</v>
      </c>
      <c r="L412" s="10" t="s">
        <v>73</v>
      </c>
      <c r="M412" s="11">
        <f>D412+7</f>
        <v>46101</v>
      </c>
      <c r="N412" s="11">
        <f>M412</f>
        <v>46101</v>
      </c>
      <c r="O412" s="10" t="s">
        <v>27</v>
      </c>
      <c r="P412" s="10" t="s">
        <v>38</v>
      </c>
      <c r="Q412" s="10"/>
      <c r="R412" s="14">
        <v>1</v>
      </c>
    </row>
    <row r="413" spans="1:19" x14ac:dyDescent="0.25">
      <c r="A413" s="25">
        <v>4</v>
      </c>
      <c r="B413" s="9" t="s">
        <v>1256</v>
      </c>
      <c r="C413" s="10" t="s">
        <v>19</v>
      </c>
      <c r="D413" s="11">
        <v>46097</v>
      </c>
      <c r="E413" s="10" t="s">
        <v>1126</v>
      </c>
      <c r="F413" s="10" t="s">
        <v>184</v>
      </c>
      <c r="G413" s="10" t="s">
        <v>22</v>
      </c>
      <c r="H413" s="28"/>
      <c r="I413" s="10" t="s">
        <v>72</v>
      </c>
      <c r="J413" s="12" t="s">
        <v>1128</v>
      </c>
      <c r="K413" s="19" t="s">
        <v>22</v>
      </c>
      <c r="L413" s="10" t="s">
        <v>26</v>
      </c>
      <c r="M413" s="11">
        <f>D413+7</f>
        <v>46104</v>
      </c>
      <c r="N413" s="11">
        <f>M413</f>
        <v>46104</v>
      </c>
      <c r="O413" s="10" t="s">
        <v>39</v>
      </c>
      <c r="P413" s="10" t="s">
        <v>28</v>
      </c>
      <c r="Q413" s="10"/>
      <c r="R413" s="14">
        <v>6</v>
      </c>
    </row>
    <row r="414" spans="1:19" ht="30" x14ac:dyDescent="0.25">
      <c r="A414" s="25">
        <v>5</v>
      </c>
      <c r="B414" s="9" t="s">
        <v>1257</v>
      </c>
      <c r="C414" s="10" t="s">
        <v>49</v>
      </c>
      <c r="D414" s="11">
        <v>46099</v>
      </c>
      <c r="E414" s="10" t="s">
        <v>409</v>
      </c>
      <c r="F414" s="10" t="s">
        <v>1258</v>
      </c>
      <c r="G414" s="10" t="s">
        <v>22</v>
      </c>
      <c r="H414" s="23" t="s">
        <v>411</v>
      </c>
      <c r="I414" s="10" t="s">
        <v>56</v>
      </c>
      <c r="J414" s="12" t="s">
        <v>1259</v>
      </c>
      <c r="K414" s="19" t="s">
        <v>22</v>
      </c>
      <c r="L414" s="10" t="s">
        <v>108</v>
      </c>
      <c r="M414" s="11">
        <v>46099</v>
      </c>
      <c r="N414" s="11">
        <v>46099</v>
      </c>
      <c r="O414" s="10" t="s">
        <v>52</v>
      </c>
      <c r="P414" s="10" t="s">
        <v>28</v>
      </c>
      <c r="Q414" s="10"/>
      <c r="R414" s="14">
        <v>4</v>
      </c>
    </row>
    <row r="415" spans="1:19" x14ac:dyDescent="0.25">
      <c r="A415" s="25">
        <v>6</v>
      </c>
      <c r="B415" s="9" t="s">
        <v>1260</v>
      </c>
      <c r="C415" s="10" t="s">
        <v>49</v>
      </c>
      <c r="D415" s="11">
        <v>46100</v>
      </c>
      <c r="E415" s="10" t="s">
        <v>1261</v>
      </c>
      <c r="F415" s="10" t="s">
        <v>964</v>
      </c>
      <c r="G415" s="10" t="s">
        <v>22</v>
      </c>
      <c r="H415" s="10"/>
      <c r="I415" s="10" t="s">
        <v>56</v>
      </c>
      <c r="J415" s="12" t="s">
        <v>1262</v>
      </c>
      <c r="K415" s="19" t="s">
        <v>22</v>
      </c>
      <c r="L415" s="10" t="s">
        <v>108</v>
      </c>
      <c r="M415" s="11">
        <v>46100</v>
      </c>
      <c r="N415" s="11">
        <v>46100</v>
      </c>
      <c r="O415" s="10" t="s">
        <v>27</v>
      </c>
      <c r="P415" s="10" t="s">
        <v>65</v>
      </c>
      <c r="Q415" s="10"/>
      <c r="R415" s="14">
        <v>2</v>
      </c>
    </row>
    <row r="416" spans="1:19" x14ac:dyDescent="0.25">
      <c r="A416" s="25">
        <v>7</v>
      </c>
      <c r="B416" s="9" t="s">
        <v>1263</v>
      </c>
      <c r="C416" s="10" t="s">
        <v>49</v>
      </c>
      <c r="D416" s="11">
        <v>46100</v>
      </c>
      <c r="E416" s="10" t="s">
        <v>331</v>
      </c>
      <c r="F416" s="10" t="s">
        <v>410</v>
      </c>
      <c r="G416" s="10" t="s">
        <v>22</v>
      </c>
      <c r="H416" s="10" t="s">
        <v>496</v>
      </c>
      <c r="I416" s="10" t="s">
        <v>56</v>
      </c>
      <c r="J416" s="12" t="s">
        <v>1264</v>
      </c>
      <c r="K416" s="19" t="s">
        <v>22</v>
      </c>
      <c r="L416" s="10" t="s">
        <v>108</v>
      </c>
      <c r="M416" s="11">
        <v>46100</v>
      </c>
      <c r="N416" s="11">
        <v>46100</v>
      </c>
      <c r="O416" s="10" t="s">
        <v>46</v>
      </c>
      <c r="P416" s="10" t="s">
        <v>28</v>
      </c>
      <c r="Q416" s="10"/>
      <c r="R416" s="14">
        <v>6</v>
      </c>
    </row>
    <row r="417" spans="1:18" ht="15.75" x14ac:dyDescent="0.25">
      <c r="A417" s="25">
        <v>8</v>
      </c>
      <c r="B417" s="9" t="s">
        <v>1265</v>
      </c>
      <c r="C417" s="10" t="s">
        <v>49</v>
      </c>
      <c r="D417" s="11">
        <v>46100</v>
      </c>
      <c r="E417" s="30" t="s">
        <v>1266</v>
      </c>
      <c r="F417" s="10" t="s">
        <v>86</v>
      </c>
      <c r="G417" s="10" t="s">
        <v>22</v>
      </c>
      <c r="H417" s="10"/>
      <c r="I417" s="10" t="s">
        <v>56</v>
      </c>
      <c r="J417" s="12" t="s">
        <v>1267</v>
      </c>
      <c r="K417" s="19" t="s">
        <v>22</v>
      </c>
      <c r="L417" s="10" t="s">
        <v>108</v>
      </c>
      <c r="M417" s="11">
        <v>46100</v>
      </c>
      <c r="N417" s="11">
        <v>46100</v>
      </c>
      <c r="O417" s="10" t="s">
        <v>27</v>
      </c>
      <c r="P417" s="10" t="s">
        <v>45</v>
      </c>
      <c r="Q417" s="10"/>
      <c r="R417" s="14">
        <v>3</v>
      </c>
    </row>
    <row r="418" spans="1:18" x14ac:dyDescent="0.25">
      <c r="A418" s="25">
        <v>9</v>
      </c>
      <c r="B418" s="9" t="s">
        <v>1268</v>
      </c>
      <c r="C418" s="10" t="s">
        <v>49</v>
      </c>
      <c r="D418" s="11">
        <v>46101</v>
      </c>
      <c r="E418" s="10" t="s">
        <v>1269</v>
      </c>
      <c r="F418" s="10" t="s">
        <v>328</v>
      </c>
      <c r="G418" s="10" t="s">
        <v>22</v>
      </c>
      <c r="H418" s="10" t="s">
        <v>496</v>
      </c>
      <c r="I418" s="10" t="s">
        <v>56</v>
      </c>
      <c r="J418" s="12" t="s">
        <v>1270</v>
      </c>
      <c r="K418" s="19" t="s">
        <v>22</v>
      </c>
      <c r="L418" s="10" t="s">
        <v>108</v>
      </c>
      <c r="M418" s="11">
        <v>46101</v>
      </c>
      <c r="N418" s="11">
        <v>46101</v>
      </c>
      <c r="O418" s="10" t="s">
        <v>27</v>
      </c>
      <c r="P418" s="10" t="s">
        <v>28</v>
      </c>
      <c r="Q418" s="10"/>
      <c r="R418" s="14">
        <v>3</v>
      </c>
    </row>
    <row r="419" spans="1:18" x14ac:dyDescent="0.25">
      <c r="A419" s="25">
        <v>10</v>
      </c>
      <c r="B419" s="9" t="s">
        <v>1271</v>
      </c>
      <c r="C419" s="10" t="s">
        <v>35</v>
      </c>
      <c r="D419" s="11">
        <v>46104</v>
      </c>
      <c r="E419" s="10" t="s">
        <v>1208</v>
      </c>
      <c r="F419" s="10" t="s">
        <v>21</v>
      </c>
      <c r="G419" s="10" t="s">
        <v>22</v>
      </c>
      <c r="H419" s="31" t="s">
        <v>984</v>
      </c>
      <c r="I419" s="10" t="s">
        <v>23</v>
      </c>
      <c r="J419" s="12" t="s">
        <v>1272</v>
      </c>
      <c r="K419" s="19" t="s">
        <v>22</v>
      </c>
      <c r="L419" s="10" t="s">
        <v>73</v>
      </c>
      <c r="M419" s="11">
        <f>D419+7</f>
        <v>46111</v>
      </c>
      <c r="N419" s="11">
        <v>46102</v>
      </c>
      <c r="O419" s="10" t="s">
        <v>27</v>
      </c>
      <c r="P419" s="10" t="s">
        <v>45</v>
      </c>
      <c r="Q419" s="10"/>
      <c r="R419" s="14">
        <v>1</v>
      </c>
    </row>
    <row r="420" spans="1:18" x14ac:dyDescent="0.25">
      <c r="A420" s="25">
        <v>11</v>
      </c>
      <c r="B420" s="9" t="s">
        <v>1273</v>
      </c>
      <c r="C420" s="10" t="s">
        <v>19</v>
      </c>
      <c r="D420" s="11">
        <v>46104</v>
      </c>
      <c r="E420" s="10" t="s">
        <v>1274</v>
      </c>
      <c r="F420" s="10" t="s">
        <v>1275</v>
      </c>
      <c r="G420" s="10" t="s">
        <v>22</v>
      </c>
      <c r="H420" s="31" t="s">
        <v>1276</v>
      </c>
      <c r="I420" s="10" t="s">
        <v>23</v>
      </c>
      <c r="J420" s="12" t="s">
        <v>1277</v>
      </c>
      <c r="K420" s="19" t="s">
        <v>22</v>
      </c>
      <c r="L420" s="10" t="s">
        <v>89</v>
      </c>
      <c r="M420" s="11">
        <f>D420+7</f>
        <v>46111</v>
      </c>
      <c r="N420" s="11">
        <v>46103</v>
      </c>
      <c r="O420" s="10" t="s">
        <v>27</v>
      </c>
      <c r="P420" s="10" t="s">
        <v>38</v>
      </c>
      <c r="Q420" s="10"/>
      <c r="R420" s="14">
        <v>1</v>
      </c>
    </row>
    <row r="421" spans="1:18" x14ac:dyDescent="0.25">
      <c r="A421" s="25">
        <v>12</v>
      </c>
      <c r="B421" s="9" t="s">
        <v>1278</v>
      </c>
      <c r="C421" s="10" t="s">
        <v>19</v>
      </c>
      <c r="D421" s="11">
        <v>46104</v>
      </c>
      <c r="E421" s="10" t="s">
        <v>306</v>
      </c>
      <c r="F421" s="10" t="s">
        <v>21</v>
      </c>
      <c r="G421" s="10" t="s">
        <v>22</v>
      </c>
      <c r="H421" s="31" t="s">
        <v>1279</v>
      </c>
      <c r="I421" s="10" t="s">
        <v>23</v>
      </c>
      <c r="J421" s="12" t="s">
        <v>1280</v>
      </c>
      <c r="K421" s="19" t="s">
        <v>22</v>
      </c>
      <c r="L421" s="10" t="s">
        <v>117</v>
      </c>
      <c r="M421" s="11">
        <f>D421+7</f>
        <v>46111</v>
      </c>
      <c r="N421" s="11">
        <f>M421+7</f>
        <v>46118</v>
      </c>
      <c r="O421" s="10" t="s">
        <v>27</v>
      </c>
      <c r="P421" s="10" t="s">
        <v>58</v>
      </c>
      <c r="Q421" s="10"/>
      <c r="R421" s="14">
        <v>8</v>
      </c>
    </row>
    <row r="422" spans="1:18" x14ac:dyDescent="0.25">
      <c r="A422" s="25">
        <v>13</v>
      </c>
      <c r="B422" s="9" t="s">
        <v>1281</v>
      </c>
      <c r="C422" s="10" t="s">
        <v>19</v>
      </c>
      <c r="D422" s="11">
        <v>46104</v>
      </c>
      <c r="E422" s="10" t="s">
        <v>1282</v>
      </c>
      <c r="F422" s="10" t="s">
        <v>21</v>
      </c>
      <c r="G422" s="10" t="s">
        <v>22</v>
      </c>
      <c r="H422" s="31" t="s">
        <v>1283</v>
      </c>
      <c r="I422" s="10" t="s">
        <v>23</v>
      </c>
      <c r="J422" s="12" t="s">
        <v>1284</v>
      </c>
      <c r="K422" s="19" t="s">
        <v>22</v>
      </c>
      <c r="L422" s="10" t="s">
        <v>26</v>
      </c>
      <c r="M422" s="11">
        <f>D422+7</f>
        <v>46111</v>
      </c>
      <c r="N422" s="11">
        <f>M422+7</f>
        <v>46118</v>
      </c>
      <c r="O422" s="10" t="s">
        <v>27</v>
      </c>
      <c r="P422" s="10" t="s">
        <v>38</v>
      </c>
      <c r="Q422" s="10"/>
      <c r="R422" s="14">
        <v>1</v>
      </c>
    </row>
    <row r="423" spans="1:18" x14ac:dyDescent="0.25">
      <c r="A423" s="25">
        <v>14</v>
      </c>
      <c r="B423" s="9" t="s">
        <v>1285</v>
      </c>
      <c r="C423" s="10" t="s">
        <v>19</v>
      </c>
      <c r="D423" s="11">
        <v>46097</v>
      </c>
      <c r="E423" s="10" t="s">
        <v>1286</v>
      </c>
      <c r="F423" s="10" t="s">
        <v>21</v>
      </c>
      <c r="G423" s="10" t="s">
        <v>22</v>
      </c>
      <c r="H423" s="31" t="s">
        <v>1287</v>
      </c>
      <c r="I423" s="10" t="s">
        <v>23</v>
      </c>
      <c r="J423" s="12" t="s">
        <v>1288</v>
      </c>
      <c r="K423" s="19" t="s">
        <v>22</v>
      </c>
      <c r="L423" s="10" t="s">
        <v>99</v>
      </c>
      <c r="M423" s="11">
        <f>D423+4</f>
        <v>46101</v>
      </c>
      <c r="N423" s="11">
        <f>M423</f>
        <v>46101</v>
      </c>
      <c r="O423" s="10" t="s">
        <v>27</v>
      </c>
      <c r="P423" s="10" t="s">
        <v>65</v>
      </c>
      <c r="Q423" s="10"/>
      <c r="R423" s="14">
        <v>4</v>
      </c>
    </row>
    <row r="424" spans="1:18" x14ac:dyDescent="0.25">
      <c r="A424" s="25">
        <v>15</v>
      </c>
      <c r="B424" s="9" t="s">
        <v>1289</v>
      </c>
      <c r="C424" s="10" t="s">
        <v>19</v>
      </c>
      <c r="D424" s="11">
        <v>46101</v>
      </c>
      <c r="E424" s="10" t="s">
        <v>1290</v>
      </c>
      <c r="F424" s="10" t="s">
        <v>386</v>
      </c>
      <c r="G424" s="10" t="s">
        <v>22</v>
      </c>
      <c r="H424" s="31" t="s">
        <v>1106</v>
      </c>
      <c r="I424" s="10" t="s">
        <v>23</v>
      </c>
      <c r="J424" s="12" t="s">
        <v>1291</v>
      </c>
      <c r="K424" s="19" t="s">
        <v>22</v>
      </c>
      <c r="L424" s="10" t="s">
        <v>26</v>
      </c>
      <c r="M424" s="11">
        <f>D424+0</f>
        <v>46101</v>
      </c>
      <c r="N424" s="11">
        <f>M424</f>
        <v>46101</v>
      </c>
      <c r="O424" s="10" t="s">
        <v>27</v>
      </c>
      <c r="P424" s="10" t="s">
        <v>58</v>
      </c>
      <c r="Q424" s="10"/>
      <c r="R424" s="14">
        <v>1</v>
      </c>
    </row>
    <row r="425" spans="1:18" x14ac:dyDescent="0.25">
      <c r="A425" s="25">
        <v>16</v>
      </c>
      <c r="B425" s="9" t="s">
        <v>1292</v>
      </c>
      <c r="C425" s="10" t="s">
        <v>19</v>
      </c>
      <c r="D425" s="11">
        <v>46091</v>
      </c>
      <c r="E425" s="10" t="s">
        <v>758</v>
      </c>
      <c r="F425" s="10" t="s">
        <v>758</v>
      </c>
      <c r="G425" s="10" t="s">
        <v>22</v>
      </c>
      <c r="H425" s="31" t="s">
        <v>1293</v>
      </c>
      <c r="I425" s="10" t="s">
        <v>23</v>
      </c>
      <c r="J425" s="12" t="s">
        <v>1294</v>
      </c>
      <c r="K425" s="19" t="s">
        <v>22</v>
      </c>
      <c r="L425" s="10" t="s">
        <v>57</v>
      </c>
      <c r="M425" s="11">
        <f>D425+21</f>
        <v>46112</v>
      </c>
      <c r="N425" s="11"/>
      <c r="O425" s="10" t="s">
        <v>27</v>
      </c>
      <c r="P425" s="10" t="s">
        <v>31</v>
      </c>
      <c r="Q425" s="10"/>
      <c r="R425" s="14">
        <v>1</v>
      </c>
    </row>
    <row r="426" spans="1:18" x14ac:dyDescent="0.25">
      <c r="A426" s="25">
        <v>17</v>
      </c>
      <c r="B426" s="9" t="s">
        <v>1295</v>
      </c>
      <c r="C426" s="10" t="s">
        <v>19</v>
      </c>
      <c r="D426" s="11">
        <v>46100</v>
      </c>
      <c r="E426" s="10" t="s">
        <v>382</v>
      </c>
      <c r="F426" s="10" t="s">
        <v>42</v>
      </c>
      <c r="G426" s="10" t="s">
        <v>22</v>
      </c>
      <c r="H426" s="31" t="s">
        <v>1293</v>
      </c>
      <c r="I426" s="10" t="s">
        <v>68</v>
      </c>
      <c r="J426" s="12" t="s">
        <v>1296</v>
      </c>
      <c r="K426" s="19" t="s">
        <v>22</v>
      </c>
      <c r="L426" s="10" t="s">
        <v>95</v>
      </c>
      <c r="M426" s="11">
        <f>D426+14</f>
        <v>46114</v>
      </c>
      <c r="N426" s="11">
        <f>M426+14</f>
        <v>46128</v>
      </c>
      <c r="O426" s="10" t="s">
        <v>27</v>
      </c>
      <c r="P426" s="10" t="s">
        <v>45</v>
      </c>
      <c r="Q426" s="10"/>
      <c r="R426" s="14">
        <v>1</v>
      </c>
    </row>
    <row r="427" spans="1:18" x14ac:dyDescent="0.25">
      <c r="A427" s="25">
        <v>18</v>
      </c>
      <c r="B427" s="9" t="s">
        <v>1297</v>
      </c>
      <c r="C427" s="10" t="s">
        <v>19</v>
      </c>
      <c r="D427" s="11">
        <v>46100</v>
      </c>
      <c r="E427" s="10" t="s">
        <v>672</v>
      </c>
      <c r="F427" s="10" t="s">
        <v>42</v>
      </c>
      <c r="G427" s="10" t="s">
        <v>22</v>
      </c>
      <c r="H427" s="31" t="s">
        <v>1298</v>
      </c>
      <c r="I427" s="10" t="s">
        <v>23</v>
      </c>
      <c r="J427" s="12" t="s">
        <v>1299</v>
      </c>
      <c r="K427" s="19" t="s">
        <v>22</v>
      </c>
      <c r="L427" s="10" t="s">
        <v>79</v>
      </c>
      <c r="M427" s="11">
        <f>D427+1</f>
        <v>46101</v>
      </c>
      <c r="N427" s="11">
        <f>M427</f>
        <v>46101</v>
      </c>
      <c r="O427" s="10" t="s">
        <v>27</v>
      </c>
      <c r="P427" s="10" t="s">
        <v>28</v>
      </c>
      <c r="Q427" s="10"/>
      <c r="R427" s="14">
        <v>2</v>
      </c>
    </row>
    <row r="428" spans="1:18" x14ac:dyDescent="0.25">
      <c r="A428" s="25">
        <v>19</v>
      </c>
      <c r="B428" s="9" t="s">
        <v>1300</v>
      </c>
      <c r="C428" s="10" t="s">
        <v>19</v>
      </c>
      <c r="D428" s="11">
        <v>46099</v>
      </c>
      <c r="E428" s="10" t="s">
        <v>382</v>
      </c>
      <c r="F428" s="10" t="s">
        <v>42</v>
      </c>
      <c r="G428" s="10" t="s">
        <v>22</v>
      </c>
      <c r="H428" s="31" t="s">
        <v>1301</v>
      </c>
      <c r="I428" s="10" t="s">
        <v>23</v>
      </c>
      <c r="J428" s="12" t="s">
        <v>1302</v>
      </c>
      <c r="K428" s="19" t="s">
        <v>22</v>
      </c>
      <c r="L428" s="10" t="s">
        <v>26</v>
      </c>
      <c r="M428" s="11">
        <f>D428+5</f>
        <v>46104</v>
      </c>
      <c r="N428" s="11">
        <f>M428</f>
        <v>46104</v>
      </c>
      <c r="O428" s="10" t="s">
        <v>27</v>
      </c>
      <c r="P428" s="10" t="s">
        <v>28</v>
      </c>
      <c r="Q428" s="10"/>
      <c r="R428" s="14">
        <v>2</v>
      </c>
    </row>
    <row r="429" spans="1:18" x14ac:dyDescent="0.25">
      <c r="A429" s="25">
        <v>20</v>
      </c>
      <c r="B429" s="9" t="s">
        <v>1303</v>
      </c>
      <c r="C429" s="10" t="s">
        <v>19</v>
      </c>
      <c r="D429" s="11">
        <v>46094</v>
      </c>
      <c r="E429" s="10" t="s">
        <v>758</v>
      </c>
      <c r="F429" s="10" t="s">
        <v>758</v>
      </c>
      <c r="G429" s="10" t="s">
        <v>22</v>
      </c>
      <c r="H429" s="31" t="s">
        <v>1293</v>
      </c>
      <c r="I429" s="10" t="s">
        <v>23</v>
      </c>
      <c r="J429" s="12" t="s">
        <v>1304</v>
      </c>
      <c r="K429" s="19" t="s">
        <v>22</v>
      </c>
      <c r="L429" s="10" t="s">
        <v>89</v>
      </c>
      <c r="M429" s="11">
        <f>D429+21</f>
        <v>46115</v>
      </c>
      <c r="N429" s="11">
        <f>M429</f>
        <v>46115</v>
      </c>
      <c r="O429" s="10" t="s">
        <v>27</v>
      </c>
      <c r="P429" s="10" t="s">
        <v>58</v>
      </c>
      <c r="Q429" s="10"/>
      <c r="R429" s="14">
        <v>1</v>
      </c>
    </row>
    <row r="430" spans="1:18" x14ac:dyDescent="0.25">
      <c r="A430" s="25">
        <v>21</v>
      </c>
      <c r="B430" s="9" t="s">
        <v>1305</v>
      </c>
      <c r="C430" s="10" t="s">
        <v>19</v>
      </c>
      <c r="D430" s="11">
        <v>46108</v>
      </c>
      <c r="E430" s="10" t="s">
        <v>1306</v>
      </c>
      <c r="F430" s="10" t="s">
        <v>86</v>
      </c>
      <c r="G430" s="10" t="s">
        <v>22</v>
      </c>
      <c r="H430" s="31" t="s">
        <v>1307</v>
      </c>
      <c r="I430" s="10" t="s">
        <v>63</v>
      </c>
      <c r="J430" s="12" t="s">
        <v>1308</v>
      </c>
      <c r="K430" s="19" t="s">
        <v>22</v>
      </c>
      <c r="L430" s="10" t="s">
        <v>26</v>
      </c>
      <c r="M430" s="11">
        <f>D430+14</f>
        <v>46122</v>
      </c>
      <c r="N430" s="11">
        <f>M430</f>
        <v>46122</v>
      </c>
      <c r="O430" s="10" t="s">
        <v>27</v>
      </c>
      <c r="P430" s="10" t="s">
        <v>58</v>
      </c>
      <c r="Q430" s="10"/>
      <c r="R430" s="14">
        <v>5</v>
      </c>
    </row>
    <row r="431" spans="1:18" x14ac:dyDescent="0.25">
      <c r="A431" s="25">
        <v>22</v>
      </c>
      <c r="B431" s="9" t="s">
        <v>1309</v>
      </c>
      <c r="C431" s="10" t="s">
        <v>35</v>
      </c>
      <c r="D431" s="11">
        <v>46108</v>
      </c>
      <c r="E431" s="10" t="s">
        <v>1084</v>
      </c>
      <c r="F431" s="10" t="s">
        <v>21</v>
      </c>
      <c r="G431" s="10" t="s">
        <v>22</v>
      </c>
      <c r="H431" s="31" t="s">
        <v>1310</v>
      </c>
      <c r="I431" s="10" t="s">
        <v>23</v>
      </c>
      <c r="J431" s="12" t="s">
        <v>1311</v>
      </c>
      <c r="K431" s="19" t="s">
        <v>22</v>
      </c>
      <c r="L431" s="10" t="s">
        <v>30</v>
      </c>
      <c r="M431" s="11">
        <f>D431+7</f>
        <v>46115</v>
      </c>
      <c r="N431" s="11">
        <f>M431+7</f>
        <v>46122</v>
      </c>
      <c r="O431" s="10" t="s">
        <v>27</v>
      </c>
      <c r="P431" s="10" t="s">
        <v>28</v>
      </c>
      <c r="Q431" s="10"/>
      <c r="R431" s="14">
        <v>16</v>
      </c>
    </row>
    <row r="432" spans="1:18" x14ac:dyDescent="0.25">
      <c r="A432" s="25">
        <v>23</v>
      </c>
      <c r="B432" s="9" t="s">
        <v>1312</v>
      </c>
      <c r="C432" s="10" t="s">
        <v>49</v>
      </c>
      <c r="D432" s="11">
        <v>46108</v>
      </c>
      <c r="E432" s="10" t="s">
        <v>527</v>
      </c>
      <c r="F432" s="10" t="s">
        <v>21</v>
      </c>
      <c r="G432" s="10" t="s">
        <v>22</v>
      </c>
      <c r="H432" s="10" t="s">
        <v>759</v>
      </c>
      <c r="I432" s="10"/>
      <c r="J432" s="12" t="s">
        <v>1313</v>
      </c>
      <c r="K432" s="19" t="s">
        <v>22</v>
      </c>
      <c r="L432" s="10" t="s">
        <v>92</v>
      </c>
      <c r="M432" s="11">
        <f>D432+3</f>
        <v>46111</v>
      </c>
      <c r="N432" s="11">
        <f>M432</f>
        <v>46111</v>
      </c>
      <c r="O432" s="10" t="s">
        <v>27</v>
      </c>
      <c r="P432" s="10" t="s">
        <v>58</v>
      </c>
      <c r="Q432" s="10"/>
      <c r="R432" s="14">
        <v>1</v>
      </c>
    </row>
    <row r="433" spans="1:19" x14ac:dyDescent="0.25">
      <c r="A433" s="25">
        <v>24</v>
      </c>
      <c r="B433" s="9" t="s">
        <v>1314</v>
      </c>
      <c r="C433" s="10" t="s">
        <v>35</v>
      </c>
      <c r="D433" s="11">
        <v>46111</v>
      </c>
      <c r="E433" s="10" t="s">
        <v>758</v>
      </c>
      <c r="F433" s="10" t="s">
        <v>758</v>
      </c>
      <c r="G433" s="10" t="s">
        <v>22</v>
      </c>
      <c r="H433" s="10" t="s">
        <v>759</v>
      </c>
      <c r="I433" s="10"/>
      <c r="J433" s="12" t="s">
        <v>1315</v>
      </c>
      <c r="K433" s="19" t="s">
        <v>22</v>
      </c>
      <c r="L433" s="10" t="s">
        <v>92</v>
      </c>
      <c r="M433" s="11">
        <f>D433+7</f>
        <v>46118</v>
      </c>
      <c r="N433" s="11">
        <f>M433+10</f>
        <v>46128</v>
      </c>
      <c r="O433" s="10" t="s">
        <v>27</v>
      </c>
      <c r="P433" s="10" t="s">
        <v>65</v>
      </c>
      <c r="Q433" s="10"/>
      <c r="R433" s="14">
        <v>8</v>
      </c>
    </row>
    <row r="434" spans="1:19" x14ac:dyDescent="0.25">
      <c r="A434" s="25">
        <v>25</v>
      </c>
      <c r="B434" s="9" t="s">
        <v>1316</v>
      </c>
      <c r="C434" s="10" t="s">
        <v>35</v>
      </c>
      <c r="D434" s="11">
        <v>46111</v>
      </c>
      <c r="E434" s="10" t="s">
        <v>588</v>
      </c>
      <c r="F434" s="10" t="s">
        <v>21</v>
      </c>
      <c r="G434" s="10" t="s">
        <v>22</v>
      </c>
      <c r="H434" s="10" t="s">
        <v>1317</v>
      </c>
      <c r="I434" s="10" t="s">
        <v>23</v>
      </c>
      <c r="J434" s="12" t="s">
        <v>1318</v>
      </c>
      <c r="K434" s="19" t="s">
        <v>22</v>
      </c>
      <c r="L434" s="10" t="s">
        <v>73</v>
      </c>
      <c r="M434" s="11">
        <f>D434+7</f>
        <v>46118</v>
      </c>
      <c r="N434" s="11">
        <f>M434+2</f>
        <v>46120</v>
      </c>
      <c r="O434" s="10" t="s">
        <v>27</v>
      </c>
      <c r="P434" s="10" t="s">
        <v>31</v>
      </c>
      <c r="Q434" s="10"/>
      <c r="R434" s="14">
        <v>6</v>
      </c>
      <c r="S434" s="24">
        <f>SUM(R410:R434)</f>
        <v>89</v>
      </c>
    </row>
    <row r="435" spans="1:19" x14ac:dyDescent="0.25">
      <c r="A435" s="21">
        <v>1</v>
      </c>
      <c r="B435" s="9" t="s">
        <v>1319</v>
      </c>
      <c r="C435" s="10" t="s">
        <v>35</v>
      </c>
      <c r="D435" s="11">
        <v>46119</v>
      </c>
      <c r="E435" s="10" t="s">
        <v>1240</v>
      </c>
      <c r="F435" s="10" t="s">
        <v>21</v>
      </c>
      <c r="G435" s="10" t="s">
        <v>22</v>
      </c>
      <c r="H435" s="10" t="s">
        <v>1320</v>
      </c>
      <c r="I435" s="10" t="s">
        <v>23</v>
      </c>
      <c r="J435" s="12" t="s">
        <v>1321</v>
      </c>
      <c r="K435" s="19" t="s">
        <v>22</v>
      </c>
      <c r="L435" s="10" t="s">
        <v>73</v>
      </c>
      <c r="M435" s="11">
        <f>D435+7</f>
        <v>46126</v>
      </c>
      <c r="N435" s="11">
        <f>M435+1</f>
        <v>46127</v>
      </c>
      <c r="O435" s="10" t="s">
        <v>27</v>
      </c>
      <c r="P435" s="10" t="s">
        <v>28</v>
      </c>
      <c r="Q435" s="10"/>
      <c r="R435" s="14">
        <v>2</v>
      </c>
    </row>
    <row r="436" spans="1:19" x14ac:dyDescent="0.25">
      <c r="A436" s="21">
        <v>2</v>
      </c>
      <c r="B436" s="9" t="s">
        <v>1322</v>
      </c>
      <c r="C436" s="10" t="s">
        <v>35</v>
      </c>
      <c r="D436" s="11">
        <v>46119</v>
      </c>
      <c r="E436" s="10" t="s">
        <v>220</v>
      </c>
      <c r="F436" s="10" t="s">
        <v>21</v>
      </c>
      <c r="G436" s="10" t="s">
        <v>22</v>
      </c>
      <c r="H436" s="10" t="s">
        <v>350</v>
      </c>
      <c r="I436" s="10" t="s">
        <v>23</v>
      </c>
      <c r="J436" s="12" t="s">
        <v>1323</v>
      </c>
      <c r="K436" s="19" t="s">
        <v>22</v>
      </c>
      <c r="L436" s="10" t="s">
        <v>89</v>
      </c>
      <c r="M436" s="11">
        <f>D436+7</f>
        <v>46126</v>
      </c>
      <c r="N436" s="11">
        <f>M436</f>
        <v>46126</v>
      </c>
      <c r="O436" s="10" t="s">
        <v>27</v>
      </c>
      <c r="P436" s="10" t="s">
        <v>65</v>
      </c>
      <c r="Q436" s="10"/>
      <c r="R436" s="14">
        <v>2</v>
      </c>
    </row>
    <row r="437" spans="1:19" x14ac:dyDescent="0.25">
      <c r="A437" s="21">
        <v>3</v>
      </c>
      <c r="B437" s="9" t="s">
        <v>1324</v>
      </c>
      <c r="C437" s="10" t="s">
        <v>19</v>
      </c>
      <c r="D437" s="11">
        <v>46120</v>
      </c>
      <c r="E437" s="10" t="s">
        <v>1325</v>
      </c>
      <c r="F437" s="10" t="s">
        <v>42</v>
      </c>
      <c r="G437" s="10" t="s">
        <v>22</v>
      </c>
      <c r="H437" s="31" t="s">
        <v>1326</v>
      </c>
      <c r="I437" s="10" t="s">
        <v>68</v>
      </c>
      <c r="J437" s="12" t="s">
        <v>1327</v>
      </c>
      <c r="K437" s="19" t="s">
        <v>22</v>
      </c>
      <c r="L437" s="10" t="s">
        <v>26</v>
      </c>
      <c r="M437" s="11">
        <f>D437+9</f>
        <v>46129</v>
      </c>
      <c r="N437" s="11">
        <f>M437</f>
        <v>46129</v>
      </c>
      <c r="O437" s="10" t="s">
        <v>27</v>
      </c>
      <c r="P437" s="10" t="s">
        <v>58</v>
      </c>
      <c r="Q437" s="10"/>
      <c r="R437" s="14">
        <v>5</v>
      </c>
    </row>
    <row r="438" spans="1:19" x14ac:dyDescent="0.25">
      <c r="A438" s="21">
        <v>4</v>
      </c>
      <c r="B438" s="9" t="s">
        <v>1328</v>
      </c>
      <c r="C438" s="10" t="s">
        <v>35</v>
      </c>
      <c r="D438" s="11">
        <v>46125</v>
      </c>
      <c r="E438" s="10" t="s">
        <v>588</v>
      </c>
      <c r="F438" s="10" t="s">
        <v>21</v>
      </c>
      <c r="G438" s="10" t="s">
        <v>22</v>
      </c>
      <c r="H438" s="10" t="s">
        <v>1329</v>
      </c>
      <c r="I438" s="10" t="s">
        <v>23</v>
      </c>
      <c r="J438" s="12" t="s">
        <v>1147</v>
      </c>
      <c r="K438" s="19" t="s">
        <v>22</v>
      </c>
      <c r="L438" s="10" t="s">
        <v>73</v>
      </c>
      <c r="M438" s="11">
        <v>46129</v>
      </c>
      <c r="N438" s="11">
        <f>M438</f>
        <v>46129</v>
      </c>
      <c r="O438" s="10" t="s">
        <v>27</v>
      </c>
      <c r="P438" s="10" t="s">
        <v>38</v>
      </c>
      <c r="Q438" s="10"/>
      <c r="R438" s="14">
        <v>3</v>
      </c>
    </row>
    <row r="439" spans="1:19" x14ac:dyDescent="0.25">
      <c r="A439" s="21">
        <v>5</v>
      </c>
      <c r="B439" s="9" t="s">
        <v>1330</v>
      </c>
      <c r="C439" s="10" t="s">
        <v>35</v>
      </c>
      <c r="D439" s="11">
        <v>46125</v>
      </c>
      <c r="E439" s="10" t="s">
        <v>588</v>
      </c>
      <c r="F439" s="10" t="s">
        <v>21</v>
      </c>
      <c r="G439" s="10" t="s">
        <v>22</v>
      </c>
      <c r="H439" s="10" t="s">
        <v>1331</v>
      </c>
      <c r="I439" s="10" t="s">
        <v>56</v>
      </c>
      <c r="J439" s="12" t="s">
        <v>1332</v>
      </c>
      <c r="K439" s="19" t="s">
        <v>22</v>
      </c>
      <c r="L439" s="10" t="s">
        <v>73</v>
      </c>
      <c r="M439" s="11">
        <v>46125</v>
      </c>
      <c r="N439" s="11"/>
      <c r="O439" s="10" t="s">
        <v>27</v>
      </c>
      <c r="P439" s="10" t="s">
        <v>31</v>
      </c>
      <c r="Q439" s="10"/>
      <c r="R439" s="14">
        <v>1</v>
      </c>
    </row>
    <row r="440" spans="1:19" x14ac:dyDescent="0.25">
      <c r="A440" s="21">
        <v>6</v>
      </c>
      <c r="B440" s="9" t="s">
        <v>1333</v>
      </c>
      <c r="C440" s="10" t="s">
        <v>35</v>
      </c>
      <c r="D440" s="11">
        <v>46125</v>
      </c>
      <c r="E440" s="10" t="s">
        <v>1240</v>
      </c>
      <c r="F440" s="10" t="s">
        <v>21</v>
      </c>
      <c r="G440" s="10" t="s">
        <v>22</v>
      </c>
      <c r="H440" s="10" t="s">
        <v>1320</v>
      </c>
      <c r="I440" s="10" t="s">
        <v>23</v>
      </c>
      <c r="J440" s="12" t="s">
        <v>1334</v>
      </c>
      <c r="K440" s="19" t="s">
        <v>22</v>
      </c>
      <c r="L440" s="10" t="s">
        <v>73</v>
      </c>
      <c r="M440" s="11">
        <v>46128</v>
      </c>
      <c r="N440" s="11">
        <v>46126</v>
      </c>
      <c r="O440" s="10" t="s">
        <v>27</v>
      </c>
      <c r="P440" s="10" t="s">
        <v>28</v>
      </c>
      <c r="Q440" s="10"/>
      <c r="R440" s="14">
        <v>4</v>
      </c>
    </row>
    <row r="441" spans="1:19" x14ac:dyDescent="0.25">
      <c r="A441" s="21">
        <v>7</v>
      </c>
      <c r="B441" s="9" t="s">
        <v>1335</v>
      </c>
      <c r="C441" s="10" t="s">
        <v>35</v>
      </c>
      <c r="D441" s="11">
        <v>46125</v>
      </c>
      <c r="E441" s="10" t="s">
        <v>588</v>
      </c>
      <c r="F441" s="10" t="s">
        <v>21</v>
      </c>
      <c r="G441" s="10" t="s">
        <v>22</v>
      </c>
      <c r="H441" s="10" t="s">
        <v>1336</v>
      </c>
      <c r="I441" s="10" t="s">
        <v>23</v>
      </c>
      <c r="J441" s="12" t="s">
        <v>1337</v>
      </c>
      <c r="K441" s="19" t="s">
        <v>22</v>
      </c>
      <c r="L441" s="10" t="s">
        <v>73</v>
      </c>
      <c r="M441" s="11">
        <v>46126</v>
      </c>
      <c r="N441" s="11">
        <f>M441</f>
        <v>46126</v>
      </c>
      <c r="O441" s="10" t="s">
        <v>27</v>
      </c>
      <c r="P441" s="10" t="s">
        <v>65</v>
      </c>
      <c r="Q441" s="10"/>
      <c r="R441" s="14">
        <v>8</v>
      </c>
    </row>
    <row r="442" spans="1:19" x14ac:dyDescent="0.25">
      <c r="A442" s="21">
        <v>8</v>
      </c>
      <c r="B442" s="9" t="s">
        <v>1338</v>
      </c>
      <c r="C442" s="10" t="s">
        <v>19</v>
      </c>
      <c r="D442" s="11">
        <v>46122</v>
      </c>
      <c r="E442" s="10" t="s">
        <v>672</v>
      </c>
      <c r="F442" s="10" t="s">
        <v>42</v>
      </c>
      <c r="G442" s="10" t="s">
        <v>22</v>
      </c>
      <c r="H442" s="31" t="s">
        <v>673</v>
      </c>
      <c r="I442" s="10" t="s">
        <v>68</v>
      </c>
      <c r="J442" s="12" t="s">
        <v>1339</v>
      </c>
      <c r="K442" s="19" t="s">
        <v>22</v>
      </c>
      <c r="L442" s="10" t="s">
        <v>117</v>
      </c>
      <c r="M442" s="11">
        <f>D442+5</f>
        <v>46127</v>
      </c>
      <c r="N442" s="11">
        <f>M442+21</f>
        <v>46148</v>
      </c>
      <c r="O442" s="10" t="s">
        <v>46</v>
      </c>
      <c r="P442" s="10" t="s">
        <v>65</v>
      </c>
      <c r="Q442" s="10"/>
      <c r="R442" s="14">
        <v>8</v>
      </c>
    </row>
    <row r="443" spans="1:19" x14ac:dyDescent="0.25">
      <c r="A443" s="21">
        <v>9</v>
      </c>
      <c r="B443" s="9" t="s">
        <v>1340</v>
      </c>
      <c r="C443" s="10" t="s">
        <v>19</v>
      </c>
      <c r="D443" s="11">
        <v>46125</v>
      </c>
      <c r="E443" s="10" t="s">
        <v>382</v>
      </c>
      <c r="F443" s="10" t="s">
        <v>42</v>
      </c>
      <c r="G443" s="10" t="s">
        <v>22</v>
      </c>
      <c r="H443" s="31" t="s">
        <v>1301</v>
      </c>
      <c r="I443" s="10" t="s">
        <v>68</v>
      </c>
      <c r="J443" s="12" t="s">
        <v>1341</v>
      </c>
      <c r="K443" s="19" t="s">
        <v>22</v>
      </c>
      <c r="L443" s="10" t="s">
        <v>26</v>
      </c>
      <c r="M443" s="11">
        <f>D443+0</f>
        <v>46125</v>
      </c>
      <c r="N443" s="11">
        <f>M443</f>
        <v>46125</v>
      </c>
      <c r="O443" s="10" t="s">
        <v>27</v>
      </c>
      <c r="P443" s="10" t="s">
        <v>28</v>
      </c>
      <c r="Q443" s="10"/>
      <c r="R443" s="14">
        <v>1</v>
      </c>
    </row>
    <row r="444" spans="1:19" x14ac:dyDescent="0.25">
      <c r="A444" s="21">
        <v>10</v>
      </c>
      <c r="B444" s="9" t="s">
        <v>1342</v>
      </c>
      <c r="C444" s="10" t="s">
        <v>19</v>
      </c>
      <c r="D444" s="11">
        <v>46127</v>
      </c>
      <c r="E444" s="10" t="s">
        <v>1343</v>
      </c>
      <c r="F444" s="10" t="s">
        <v>200</v>
      </c>
      <c r="G444" s="10" t="s">
        <v>22</v>
      </c>
      <c r="H444" s="31" t="s">
        <v>1344</v>
      </c>
      <c r="I444" s="10" t="s">
        <v>23</v>
      </c>
      <c r="J444" s="12" t="s">
        <v>1345</v>
      </c>
      <c r="K444" s="19" t="s">
        <v>22</v>
      </c>
      <c r="L444" s="10" t="s">
        <v>26</v>
      </c>
      <c r="M444" s="11">
        <f>D444+0</f>
        <v>46127</v>
      </c>
      <c r="N444" s="11">
        <f>M444+1</f>
        <v>46128</v>
      </c>
      <c r="O444" s="10" t="s">
        <v>27</v>
      </c>
      <c r="P444" s="10" t="s">
        <v>28</v>
      </c>
      <c r="Q444" s="10"/>
      <c r="R444" s="14">
        <v>4</v>
      </c>
    </row>
    <row r="445" spans="1:19" x14ac:dyDescent="0.25">
      <c r="A445" s="21">
        <v>11</v>
      </c>
      <c r="B445" s="9" t="s">
        <v>1346</v>
      </c>
      <c r="C445" s="10" t="s">
        <v>49</v>
      </c>
      <c r="D445" s="11">
        <v>46128</v>
      </c>
      <c r="E445" s="10" t="s">
        <v>474</v>
      </c>
      <c r="F445" s="10" t="s">
        <v>21</v>
      </c>
      <c r="G445" s="10" t="s">
        <v>22</v>
      </c>
      <c r="H445" s="10" t="s">
        <v>475</v>
      </c>
      <c r="I445" s="10" t="s">
        <v>50</v>
      </c>
      <c r="J445" s="12" t="s">
        <v>1050</v>
      </c>
      <c r="K445" s="19" t="s">
        <v>22</v>
      </c>
      <c r="L445" s="10" t="s">
        <v>108</v>
      </c>
      <c r="M445" s="11">
        <v>46128</v>
      </c>
      <c r="N445" s="11">
        <v>46128</v>
      </c>
      <c r="O445" s="10" t="s">
        <v>59</v>
      </c>
      <c r="P445" s="10" t="s">
        <v>38</v>
      </c>
      <c r="Q445" s="10"/>
      <c r="R445" s="14">
        <v>10</v>
      </c>
    </row>
    <row r="446" spans="1:19" x14ac:dyDescent="0.25">
      <c r="A446" s="21">
        <v>12</v>
      </c>
      <c r="B446" s="9" t="s">
        <v>1347</v>
      </c>
      <c r="C446" s="10" t="s">
        <v>35</v>
      </c>
      <c r="D446" s="11">
        <v>46126</v>
      </c>
      <c r="E446" s="10" t="s">
        <v>588</v>
      </c>
      <c r="F446" s="10" t="s">
        <v>21</v>
      </c>
      <c r="G446" s="10" t="s">
        <v>22</v>
      </c>
      <c r="H446" s="10" t="s">
        <v>1348</v>
      </c>
      <c r="I446" s="10" t="s">
        <v>23</v>
      </c>
      <c r="J446" s="12" t="s">
        <v>1349</v>
      </c>
      <c r="K446" s="19" t="s">
        <v>22</v>
      </c>
      <c r="L446" s="10" t="s">
        <v>30</v>
      </c>
      <c r="M446" s="11">
        <v>46132</v>
      </c>
      <c r="N446" s="11">
        <f>M446</f>
        <v>46132</v>
      </c>
      <c r="O446" s="10" t="s">
        <v>27</v>
      </c>
      <c r="P446" s="10" t="s">
        <v>28</v>
      </c>
      <c r="Q446" s="10"/>
      <c r="R446" s="14">
        <v>2</v>
      </c>
    </row>
    <row r="447" spans="1:19" x14ac:dyDescent="0.25">
      <c r="A447" s="21">
        <v>13</v>
      </c>
      <c r="B447" s="9" t="s">
        <v>1350</v>
      </c>
      <c r="C447" s="10" t="s">
        <v>49</v>
      </c>
      <c r="D447" s="11">
        <v>46132</v>
      </c>
      <c r="E447" s="10" t="s">
        <v>1215</v>
      </c>
      <c r="F447" s="10" t="s">
        <v>1080</v>
      </c>
      <c r="G447" s="10" t="s">
        <v>22</v>
      </c>
      <c r="H447" s="10" t="s">
        <v>1351</v>
      </c>
      <c r="I447" s="10" t="s">
        <v>56</v>
      </c>
      <c r="J447" s="12" t="s">
        <v>1352</v>
      </c>
      <c r="K447" s="19" t="s">
        <v>22</v>
      </c>
      <c r="L447" s="10" t="s">
        <v>108</v>
      </c>
      <c r="M447" s="11">
        <v>46132</v>
      </c>
      <c r="N447" s="11">
        <v>46132</v>
      </c>
      <c r="O447" s="10" t="s">
        <v>27</v>
      </c>
      <c r="P447" s="10" t="s">
        <v>28</v>
      </c>
      <c r="Q447" s="10"/>
      <c r="R447" s="14">
        <v>2</v>
      </c>
    </row>
    <row r="448" spans="1:19" x14ac:dyDescent="0.25">
      <c r="A448" s="21">
        <v>14</v>
      </c>
      <c r="B448" s="9" t="s">
        <v>1353</v>
      </c>
      <c r="C448" s="10" t="s">
        <v>35</v>
      </c>
      <c r="D448" s="11">
        <v>46134</v>
      </c>
      <c r="E448" s="10" t="s">
        <v>220</v>
      </c>
      <c r="F448" s="10" t="s">
        <v>21</v>
      </c>
      <c r="G448" s="10" t="s">
        <v>22</v>
      </c>
      <c r="H448" s="10" t="s">
        <v>1354</v>
      </c>
      <c r="I448" s="10" t="s">
        <v>23</v>
      </c>
      <c r="J448" s="12" t="s">
        <v>1355</v>
      </c>
      <c r="K448" s="19" t="s">
        <v>22</v>
      </c>
      <c r="L448" s="10" t="s">
        <v>26</v>
      </c>
      <c r="M448" s="11">
        <f>D448</f>
        <v>46134</v>
      </c>
      <c r="N448" s="11">
        <f>M448</f>
        <v>46134</v>
      </c>
      <c r="O448" s="10" t="s">
        <v>27</v>
      </c>
      <c r="P448" s="10" t="s">
        <v>28</v>
      </c>
      <c r="Q448" s="10"/>
      <c r="R448" s="14">
        <v>3</v>
      </c>
    </row>
    <row r="449" spans="1:18" x14ac:dyDescent="0.25">
      <c r="A449" s="21">
        <v>15</v>
      </c>
      <c r="B449" s="9" t="s">
        <v>1356</v>
      </c>
      <c r="C449" s="10" t="s">
        <v>19</v>
      </c>
      <c r="D449" s="11">
        <v>46133</v>
      </c>
      <c r="E449" s="10" t="s">
        <v>597</v>
      </c>
      <c r="F449" s="10" t="s">
        <v>42</v>
      </c>
      <c r="G449" s="10" t="s">
        <v>22</v>
      </c>
      <c r="H449" s="31" t="s">
        <v>168</v>
      </c>
      <c r="I449" s="10" t="s">
        <v>23</v>
      </c>
      <c r="J449" s="12" t="s">
        <v>1357</v>
      </c>
      <c r="K449" s="19" t="s">
        <v>22</v>
      </c>
      <c r="L449" s="10" t="s">
        <v>89</v>
      </c>
      <c r="M449" s="11">
        <f>D449+6</f>
        <v>46139</v>
      </c>
      <c r="N449" s="11">
        <f>M449</f>
        <v>46139</v>
      </c>
      <c r="O449" s="10" t="s">
        <v>27</v>
      </c>
      <c r="P449" s="10" t="s">
        <v>45</v>
      </c>
      <c r="Q449" s="10"/>
      <c r="R449" s="14">
        <v>1</v>
      </c>
    </row>
    <row r="450" spans="1:18" x14ac:dyDescent="0.25">
      <c r="A450" s="21">
        <v>16</v>
      </c>
      <c r="B450" s="9" t="s">
        <v>1358</v>
      </c>
      <c r="C450" s="10" t="s">
        <v>19</v>
      </c>
      <c r="D450" s="11">
        <v>46139</v>
      </c>
      <c r="E450" s="10" t="s">
        <v>379</v>
      </c>
      <c r="F450" s="10" t="s">
        <v>42</v>
      </c>
      <c r="G450" s="10" t="s">
        <v>22</v>
      </c>
      <c r="H450" s="31" t="s">
        <v>673</v>
      </c>
      <c r="I450" s="10" t="s">
        <v>23</v>
      </c>
      <c r="J450" s="12" t="s">
        <v>1359</v>
      </c>
      <c r="K450" s="19" t="s">
        <v>22</v>
      </c>
      <c r="L450" s="10" t="s">
        <v>26</v>
      </c>
      <c r="M450" s="11">
        <f>D450+2</f>
        <v>46141</v>
      </c>
      <c r="N450" s="11">
        <f>M450+6</f>
        <v>46147</v>
      </c>
      <c r="O450" s="10" t="s">
        <v>27</v>
      </c>
      <c r="P450" s="10" t="s">
        <v>58</v>
      </c>
      <c r="Q450" s="10"/>
      <c r="R450" s="14">
        <v>1</v>
      </c>
    </row>
    <row r="451" spans="1:18" x14ac:dyDescent="0.25">
      <c r="A451" s="21">
        <v>17</v>
      </c>
      <c r="B451" s="9" t="s">
        <v>1360</v>
      </c>
      <c r="C451" s="10" t="s">
        <v>19</v>
      </c>
      <c r="D451" s="11">
        <v>46139</v>
      </c>
      <c r="E451" s="10" t="s">
        <v>802</v>
      </c>
      <c r="F451" s="10" t="s">
        <v>62</v>
      </c>
      <c r="G451" s="10" t="s">
        <v>22</v>
      </c>
      <c r="H451" s="10" t="s">
        <v>1361</v>
      </c>
      <c r="I451" s="10" t="s">
        <v>23</v>
      </c>
      <c r="J451" s="12" t="s">
        <v>1362</v>
      </c>
      <c r="K451" s="19" t="s">
        <v>22</v>
      </c>
      <c r="L451" s="10" t="s">
        <v>37</v>
      </c>
      <c r="M451" s="11">
        <f>D451+14</f>
        <v>46153</v>
      </c>
      <c r="N451" s="11">
        <f>M451+6</f>
        <v>46159</v>
      </c>
      <c r="O451" s="10" t="s">
        <v>27</v>
      </c>
      <c r="P451" s="10" t="s">
        <v>65</v>
      </c>
      <c r="Q451" s="10"/>
      <c r="R451" s="14">
        <v>4</v>
      </c>
    </row>
    <row r="452" spans="1:18" x14ac:dyDescent="0.25">
      <c r="A452" s="21">
        <v>18</v>
      </c>
      <c r="B452" s="9" t="s">
        <v>1363</v>
      </c>
      <c r="C452" s="10" t="s">
        <v>19</v>
      </c>
      <c r="D452" s="11">
        <v>46136</v>
      </c>
      <c r="E452" s="10" t="s">
        <v>20</v>
      </c>
      <c r="F452" s="10" t="s">
        <v>21</v>
      </c>
      <c r="G452" s="10" t="s">
        <v>22</v>
      </c>
      <c r="H452" s="10" t="s">
        <v>1364</v>
      </c>
      <c r="I452" s="10" t="s">
        <v>23</v>
      </c>
      <c r="J452" s="12" t="s">
        <v>1365</v>
      </c>
      <c r="K452" s="19" t="s">
        <v>22</v>
      </c>
      <c r="L452" s="10" t="s">
        <v>26</v>
      </c>
      <c r="M452" s="11">
        <f>D452+3</f>
        <v>46139</v>
      </c>
      <c r="N452" s="11">
        <f>M452</f>
        <v>46139</v>
      </c>
      <c r="O452" s="10" t="s">
        <v>27</v>
      </c>
      <c r="P452" s="10" t="s">
        <v>65</v>
      </c>
      <c r="Q452" s="10"/>
      <c r="R452" s="14">
        <v>2</v>
      </c>
    </row>
    <row r="453" spans="1:18" x14ac:dyDescent="0.25">
      <c r="A453" s="21">
        <v>19</v>
      </c>
      <c r="B453" s="9" t="s">
        <v>1366</v>
      </c>
      <c r="C453" s="10" t="s">
        <v>19</v>
      </c>
      <c r="D453" s="11">
        <v>46139</v>
      </c>
      <c r="E453" s="10" t="s">
        <v>1126</v>
      </c>
      <c r="F453" s="10" t="s">
        <v>184</v>
      </c>
      <c r="G453" s="10" t="s">
        <v>22</v>
      </c>
      <c r="H453" s="10" t="s">
        <v>1367</v>
      </c>
      <c r="I453" s="10" t="s">
        <v>72</v>
      </c>
      <c r="J453" s="12" t="s">
        <v>1368</v>
      </c>
      <c r="K453" s="19" t="s">
        <v>22</v>
      </c>
      <c r="L453" s="10" t="s">
        <v>26</v>
      </c>
      <c r="M453" s="11">
        <f>D453+2</f>
        <v>46141</v>
      </c>
      <c r="N453" s="11">
        <f>M453</f>
        <v>46141</v>
      </c>
      <c r="O453" s="10" t="s">
        <v>39</v>
      </c>
      <c r="P453" s="10" t="s">
        <v>58</v>
      </c>
      <c r="Q453" s="10"/>
      <c r="R453" s="14">
        <v>2</v>
      </c>
    </row>
    <row r="454" spans="1:18" x14ac:dyDescent="0.25">
      <c r="A454" s="21">
        <v>20</v>
      </c>
      <c r="B454" s="9" t="s">
        <v>1369</v>
      </c>
      <c r="C454" s="10" t="s">
        <v>35</v>
      </c>
      <c r="D454" s="11">
        <v>46139</v>
      </c>
      <c r="E454" s="10" t="s">
        <v>220</v>
      </c>
      <c r="F454" s="10" t="s">
        <v>21</v>
      </c>
      <c r="G454" s="10" t="s">
        <v>22</v>
      </c>
      <c r="H454" s="10" t="s">
        <v>258</v>
      </c>
      <c r="I454" s="10" t="s">
        <v>23</v>
      </c>
      <c r="J454" s="12" t="s">
        <v>1370</v>
      </c>
      <c r="K454" s="19" t="s">
        <v>22</v>
      </c>
      <c r="L454" s="10" t="s">
        <v>30</v>
      </c>
      <c r="M454" s="11">
        <v>46150</v>
      </c>
      <c r="N454" s="11">
        <f>M454</f>
        <v>46150</v>
      </c>
      <c r="O454" s="10" t="s">
        <v>27</v>
      </c>
      <c r="P454" s="10" t="s">
        <v>45</v>
      </c>
      <c r="Q454" s="10"/>
      <c r="R454" s="14">
        <v>2</v>
      </c>
    </row>
    <row r="455" spans="1:18" x14ac:dyDescent="0.25">
      <c r="A455" s="21">
        <v>21</v>
      </c>
      <c r="B455" s="9" t="s">
        <v>1371</v>
      </c>
      <c r="C455" s="10" t="s">
        <v>19</v>
      </c>
      <c r="D455" s="11">
        <v>46140</v>
      </c>
      <c r="E455" s="10" t="s">
        <v>822</v>
      </c>
      <c r="F455" s="10" t="s">
        <v>86</v>
      </c>
      <c r="G455" s="10" t="s">
        <v>22</v>
      </c>
      <c r="H455" s="10"/>
      <c r="I455" s="10" t="s">
        <v>63</v>
      </c>
      <c r="J455" s="12" t="s">
        <v>1372</v>
      </c>
      <c r="K455" s="19" t="s">
        <v>22</v>
      </c>
      <c r="L455" s="10" t="s">
        <v>26</v>
      </c>
      <c r="M455" s="11">
        <f>D455+1</f>
        <v>46141</v>
      </c>
      <c r="N455" s="11">
        <f>M455</f>
        <v>46141</v>
      </c>
      <c r="O455" s="10" t="s">
        <v>27</v>
      </c>
      <c r="P455" s="10" t="s">
        <v>58</v>
      </c>
      <c r="Q455" s="10"/>
      <c r="R455" s="14">
        <v>1</v>
      </c>
    </row>
    <row r="456" spans="1:18" x14ac:dyDescent="0.25">
      <c r="A456" s="21">
        <v>22</v>
      </c>
      <c r="B456" s="9" t="s">
        <v>1373</v>
      </c>
      <c r="C456" s="10" t="s">
        <v>19</v>
      </c>
      <c r="D456" s="11">
        <v>46141</v>
      </c>
      <c r="E456" s="10" t="s">
        <v>1094</v>
      </c>
      <c r="F456" s="10" t="s">
        <v>62</v>
      </c>
      <c r="G456" s="10" t="s">
        <v>22</v>
      </c>
      <c r="H456" s="10" t="s">
        <v>1374</v>
      </c>
      <c r="I456" s="10" t="s">
        <v>63</v>
      </c>
      <c r="J456" s="12" t="s">
        <v>1375</v>
      </c>
      <c r="K456" s="19" t="s">
        <v>22</v>
      </c>
      <c r="L456" s="10" t="s">
        <v>26</v>
      </c>
      <c r="M456" s="11">
        <f>D456+6</f>
        <v>46147</v>
      </c>
      <c r="N456" s="11">
        <f>M456</f>
        <v>46147</v>
      </c>
      <c r="O456" s="10" t="s">
        <v>39</v>
      </c>
      <c r="P456" s="10" t="s">
        <v>28</v>
      </c>
      <c r="Q456" s="10"/>
      <c r="R456" s="14">
        <v>6</v>
      </c>
    </row>
    <row r="457" spans="1:18" x14ac:dyDescent="0.25">
      <c r="A457" s="21">
        <v>23</v>
      </c>
      <c r="B457" s="9" t="s">
        <v>1376</v>
      </c>
      <c r="C457" s="10" t="s">
        <v>19</v>
      </c>
      <c r="D457" s="11">
        <v>46141</v>
      </c>
      <c r="E457" s="10" t="s">
        <v>1377</v>
      </c>
      <c r="F457" s="10" t="s">
        <v>42</v>
      </c>
      <c r="G457" s="10" t="s">
        <v>22</v>
      </c>
      <c r="H457" s="10" t="s">
        <v>1378</v>
      </c>
      <c r="I457" s="10" t="s">
        <v>68</v>
      </c>
      <c r="J457" s="12" t="s">
        <v>1375</v>
      </c>
      <c r="K457" s="19" t="s">
        <v>22</v>
      </c>
      <c r="L457" s="10" t="s">
        <v>26</v>
      </c>
      <c r="M457" s="11">
        <f t="shared" ref="M457" si="30">D457+5</f>
        <v>46146</v>
      </c>
      <c r="N457" s="11">
        <f>M457+3</f>
        <v>46149</v>
      </c>
      <c r="O457" s="10" t="s">
        <v>27</v>
      </c>
      <c r="P457" s="10" t="s">
        <v>58</v>
      </c>
      <c r="Q457" s="10"/>
      <c r="R457" s="14">
        <v>5</v>
      </c>
    </row>
    <row r="458" spans="1:18" x14ac:dyDescent="0.25">
      <c r="A458" s="21">
        <v>24</v>
      </c>
      <c r="B458" s="9" t="s">
        <v>1379</v>
      </c>
      <c r="C458" s="10" t="s">
        <v>35</v>
      </c>
      <c r="D458" s="11">
        <v>46140</v>
      </c>
      <c r="E458" s="10" t="s">
        <v>20</v>
      </c>
      <c r="F458" s="10" t="s">
        <v>21</v>
      </c>
      <c r="G458" s="10" t="s">
        <v>22</v>
      </c>
      <c r="H458" s="10" t="s">
        <v>1364</v>
      </c>
      <c r="I458" s="10" t="s">
        <v>23</v>
      </c>
      <c r="J458" s="12" t="s">
        <v>1380</v>
      </c>
      <c r="K458" s="19" t="s">
        <v>22</v>
      </c>
      <c r="L458" s="10" t="s">
        <v>73</v>
      </c>
      <c r="M458" s="11">
        <f>D458+1</f>
        <v>46141</v>
      </c>
      <c r="N458" s="11">
        <f t="shared" ref="N458:N464" si="31">M458</f>
        <v>46141</v>
      </c>
      <c r="O458" s="10" t="s">
        <v>27</v>
      </c>
      <c r="P458" s="10" t="s">
        <v>58</v>
      </c>
      <c r="Q458" s="10"/>
      <c r="R458" s="14">
        <v>1</v>
      </c>
    </row>
    <row r="459" spans="1:18" x14ac:dyDescent="0.25">
      <c r="A459" s="21">
        <v>25</v>
      </c>
      <c r="B459" s="9" t="s">
        <v>1381</v>
      </c>
      <c r="C459" s="10" t="s">
        <v>19</v>
      </c>
      <c r="D459" s="11">
        <v>46139</v>
      </c>
      <c r="E459" s="10" t="s">
        <v>597</v>
      </c>
      <c r="F459" s="10" t="s">
        <v>42</v>
      </c>
      <c r="G459" s="10" t="s">
        <v>22</v>
      </c>
      <c r="H459" s="31" t="s">
        <v>168</v>
      </c>
      <c r="I459" s="10" t="s">
        <v>23</v>
      </c>
      <c r="J459" s="12" t="s">
        <v>1382</v>
      </c>
      <c r="K459" s="19" t="s">
        <v>22</v>
      </c>
      <c r="L459" s="10" t="s">
        <v>26</v>
      </c>
      <c r="M459" s="11">
        <f>D459+3</f>
        <v>46142</v>
      </c>
      <c r="N459" s="11">
        <f t="shared" si="31"/>
        <v>46142</v>
      </c>
      <c r="O459" s="10" t="s">
        <v>27</v>
      </c>
      <c r="P459" s="10" t="s">
        <v>45</v>
      </c>
      <c r="Q459" s="10"/>
      <c r="R459" s="14">
        <v>2</v>
      </c>
    </row>
    <row r="460" spans="1:18" x14ac:dyDescent="0.25">
      <c r="A460" s="21">
        <v>26</v>
      </c>
      <c r="B460" s="9" t="s">
        <v>1383</v>
      </c>
      <c r="C460" s="10" t="s">
        <v>35</v>
      </c>
      <c r="D460" s="11">
        <v>46139</v>
      </c>
      <c r="E460" s="10" t="s">
        <v>1384</v>
      </c>
      <c r="F460" s="10" t="s">
        <v>21</v>
      </c>
      <c r="G460" s="10" t="s">
        <v>22</v>
      </c>
      <c r="H460" s="10" t="s">
        <v>1385</v>
      </c>
      <c r="I460" s="10" t="s">
        <v>23</v>
      </c>
      <c r="J460" s="12" t="s">
        <v>1386</v>
      </c>
      <c r="K460" s="19" t="s">
        <v>22</v>
      </c>
      <c r="L460" s="10" t="s">
        <v>73</v>
      </c>
      <c r="M460" s="11">
        <f>D460+5</f>
        <v>46144</v>
      </c>
      <c r="N460" s="11">
        <f t="shared" si="31"/>
        <v>46144</v>
      </c>
      <c r="O460" s="10" t="s">
        <v>27</v>
      </c>
      <c r="P460" s="10" t="s">
        <v>65</v>
      </c>
      <c r="Q460" s="10"/>
      <c r="R460" s="14">
        <v>2</v>
      </c>
    </row>
    <row r="461" spans="1:18" x14ac:dyDescent="0.25">
      <c r="A461" s="21">
        <v>27</v>
      </c>
      <c r="B461" s="9" t="s">
        <v>1387</v>
      </c>
      <c r="C461" s="10" t="s">
        <v>19</v>
      </c>
      <c r="D461" s="11">
        <v>46139</v>
      </c>
      <c r="E461" s="10" t="s">
        <v>1384</v>
      </c>
      <c r="F461" s="10" t="s">
        <v>21</v>
      </c>
      <c r="G461" s="10" t="s">
        <v>22</v>
      </c>
      <c r="H461" s="10" t="s">
        <v>1385</v>
      </c>
      <c r="I461" s="10" t="s">
        <v>23</v>
      </c>
      <c r="J461" s="12" t="s">
        <v>1388</v>
      </c>
      <c r="K461" s="19" t="s">
        <v>22</v>
      </c>
      <c r="L461" s="10" t="s">
        <v>73</v>
      </c>
      <c r="M461" s="11">
        <f>D461+5</f>
        <v>46144</v>
      </c>
      <c r="N461" s="11">
        <f t="shared" si="31"/>
        <v>46144</v>
      </c>
      <c r="O461" s="10" t="s">
        <v>27</v>
      </c>
      <c r="P461" s="10" t="s">
        <v>65</v>
      </c>
      <c r="Q461" s="10"/>
      <c r="R461" s="14">
        <v>1</v>
      </c>
    </row>
    <row r="462" spans="1:18" x14ac:dyDescent="0.25">
      <c r="A462" s="21">
        <v>28</v>
      </c>
      <c r="B462" s="9" t="s">
        <v>1389</v>
      </c>
      <c r="C462" s="10" t="s">
        <v>19</v>
      </c>
      <c r="D462" s="11">
        <v>46140</v>
      </c>
      <c r="E462" s="10" t="s">
        <v>103</v>
      </c>
      <c r="F462" s="10" t="s">
        <v>21</v>
      </c>
      <c r="G462" s="10" t="s">
        <v>22</v>
      </c>
      <c r="H462" s="31" t="s">
        <v>1390</v>
      </c>
      <c r="I462" s="10" t="s">
        <v>23</v>
      </c>
      <c r="J462" s="12" t="s">
        <v>1391</v>
      </c>
      <c r="K462" s="19" t="s">
        <v>22</v>
      </c>
      <c r="L462" s="10" t="s">
        <v>89</v>
      </c>
      <c r="M462" s="11">
        <f>D462+2</f>
        <v>46142</v>
      </c>
      <c r="N462" s="11">
        <f t="shared" si="31"/>
        <v>46142</v>
      </c>
      <c r="O462" s="10" t="s">
        <v>27</v>
      </c>
      <c r="P462" s="10" t="s">
        <v>28</v>
      </c>
      <c r="Q462" s="10"/>
      <c r="R462" s="14">
        <v>2</v>
      </c>
    </row>
    <row r="463" spans="1:18" x14ac:dyDescent="0.25">
      <c r="A463" s="21">
        <v>29</v>
      </c>
      <c r="B463" s="9" t="s">
        <v>1392</v>
      </c>
      <c r="C463" s="10" t="s">
        <v>19</v>
      </c>
      <c r="D463" s="11">
        <v>46140</v>
      </c>
      <c r="E463" s="10" t="s">
        <v>103</v>
      </c>
      <c r="F463" s="10" t="s">
        <v>21</v>
      </c>
      <c r="G463" s="10" t="s">
        <v>22</v>
      </c>
      <c r="H463" s="31" t="s">
        <v>1393</v>
      </c>
      <c r="I463" s="10" t="s">
        <v>23</v>
      </c>
      <c r="J463" s="12" t="s">
        <v>1394</v>
      </c>
      <c r="K463" s="19" t="s">
        <v>22</v>
      </c>
      <c r="L463" s="10" t="s">
        <v>89</v>
      </c>
      <c r="M463" s="11">
        <f>D463+7</f>
        <v>46147</v>
      </c>
      <c r="N463" s="11">
        <f t="shared" si="31"/>
        <v>46147</v>
      </c>
      <c r="O463" s="10" t="s">
        <v>27</v>
      </c>
      <c r="P463" s="10" t="s">
        <v>58</v>
      </c>
      <c r="Q463" s="10"/>
      <c r="R463" s="14">
        <v>2</v>
      </c>
    </row>
    <row r="464" spans="1:18" x14ac:dyDescent="0.25">
      <c r="A464" s="21">
        <v>30</v>
      </c>
      <c r="B464" s="9" t="s">
        <v>1395</v>
      </c>
      <c r="C464" s="10" t="s">
        <v>49</v>
      </c>
      <c r="D464" s="11">
        <v>46140</v>
      </c>
      <c r="E464" s="10" t="s">
        <v>159</v>
      </c>
      <c r="F464" s="10" t="s">
        <v>1396</v>
      </c>
      <c r="G464" s="10" t="s">
        <v>22</v>
      </c>
      <c r="H464" s="10"/>
      <c r="I464" s="10" t="s">
        <v>56</v>
      </c>
      <c r="J464" s="12" t="s">
        <v>1397</v>
      </c>
      <c r="K464" s="19" t="s">
        <v>22</v>
      </c>
      <c r="L464" s="10" t="s">
        <v>95</v>
      </c>
      <c r="M464" s="11">
        <f>D464+3</f>
        <v>46143</v>
      </c>
      <c r="N464" s="11">
        <f t="shared" si="31"/>
        <v>46143</v>
      </c>
      <c r="O464" s="10" t="s">
        <v>27</v>
      </c>
      <c r="P464" s="10" t="s">
        <v>28</v>
      </c>
      <c r="Q464" s="10"/>
      <c r="R464" s="14">
        <v>16</v>
      </c>
    </row>
    <row r="465" spans="1:19" x14ac:dyDescent="0.25">
      <c r="A465" s="21">
        <v>31</v>
      </c>
      <c r="B465" s="9" t="s">
        <v>1398</v>
      </c>
      <c r="C465" s="10" t="s">
        <v>49</v>
      </c>
      <c r="D465" s="11">
        <v>46140</v>
      </c>
      <c r="E465" s="10" t="s">
        <v>211</v>
      </c>
      <c r="F465" s="10" t="s">
        <v>21</v>
      </c>
      <c r="G465" s="10" t="s">
        <v>22</v>
      </c>
      <c r="H465" s="10"/>
      <c r="I465" s="10" t="s">
        <v>56</v>
      </c>
      <c r="J465" s="12" t="s">
        <v>1399</v>
      </c>
      <c r="K465" s="19" t="s">
        <v>22</v>
      </c>
      <c r="L465" s="10" t="s">
        <v>99</v>
      </c>
      <c r="M465" s="11">
        <f>D465+3</f>
        <v>46143</v>
      </c>
      <c r="N465" s="11">
        <f>M465+3</f>
        <v>46146</v>
      </c>
      <c r="O465" s="10" t="s">
        <v>27</v>
      </c>
      <c r="P465" s="10" t="s">
        <v>65</v>
      </c>
      <c r="Q465" s="10"/>
      <c r="R465" s="14">
        <v>3</v>
      </c>
      <c r="S465" s="24">
        <f>SUM(R435:R465)</f>
        <v>108</v>
      </c>
    </row>
    <row r="466" spans="1:19" x14ac:dyDescent="0.25">
      <c r="A466" s="25">
        <v>1</v>
      </c>
      <c r="B466" s="9" t="s">
        <v>1400</v>
      </c>
      <c r="C466" s="10" t="s">
        <v>49</v>
      </c>
      <c r="D466" s="11">
        <v>46143</v>
      </c>
      <c r="E466" s="10" t="s">
        <v>1401</v>
      </c>
      <c r="F466" s="10" t="s">
        <v>1062</v>
      </c>
      <c r="G466" s="10" t="s">
        <v>22</v>
      </c>
      <c r="H466" s="10"/>
      <c r="I466" s="10" t="s">
        <v>56</v>
      </c>
      <c r="J466" s="12" t="s">
        <v>1402</v>
      </c>
      <c r="K466" s="19" t="s">
        <v>22</v>
      </c>
      <c r="L466" s="10" t="s">
        <v>99</v>
      </c>
      <c r="M466" s="11">
        <f>D466+7</f>
        <v>46150</v>
      </c>
      <c r="N466" s="11"/>
      <c r="O466" s="10" t="s">
        <v>27</v>
      </c>
      <c r="P466" s="10" t="s">
        <v>31</v>
      </c>
      <c r="Q466" s="10"/>
      <c r="R466" s="14">
        <v>1</v>
      </c>
    </row>
    <row r="467" spans="1:19" x14ac:dyDescent="0.25">
      <c r="A467" s="25">
        <v>2</v>
      </c>
      <c r="B467" s="9" t="s">
        <v>1403</v>
      </c>
      <c r="C467" s="10" t="s">
        <v>19</v>
      </c>
      <c r="D467" s="11">
        <v>46143</v>
      </c>
      <c r="E467" s="10" t="s">
        <v>1126</v>
      </c>
      <c r="F467" s="10" t="s">
        <v>184</v>
      </c>
      <c r="G467" s="10" t="s">
        <v>22</v>
      </c>
      <c r="H467" s="10" t="s">
        <v>1367</v>
      </c>
      <c r="I467" s="10" t="s">
        <v>72</v>
      </c>
      <c r="J467" s="12" t="s">
        <v>1404</v>
      </c>
      <c r="K467" s="19" t="s">
        <v>22</v>
      </c>
      <c r="L467" s="10" t="s">
        <v>26</v>
      </c>
      <c r="M467" s="11">
        <f>D467+5</f>
        <v>46148</v>
      </c>
      <c r="N467" s="11">
        <f>M467</f>
        <v>46148</v>
      </c>
      <c r="O467" s="10" t="s">
        <v>27</v>
      </c>
      <c r="P467" s="10" t="s">
        <v>58</v>
      </c>
      <c r="Q467" s="10"/>
      <c r="R467" s="14">
        <v>1</v>
      </c>
    </row>
    <row r="468" spans="1:19" x14ac:dyDescent="0.25">
      <c r="A468" s="25">
        <v>3</v>
      </c>
      <c r="B468" s="9" t="s">
        <v>1405</v>
      </c>
      <c r="C468" s="10" t="s">
        <v>35</v>
      </c>
      <c r="D468" s="11">
        <v>46147</v>
      </c>
      <c r="E468" s="10" t="s">
        <v>20</v>
      </c>
      <c r="F468" s="10" t="s">
        <v>21</v>
      </c>
      <c r="G468" s="10" t="s">
        <v>22</v>
      </c>
      <c r="H468" s="10" t="s">
        <v>1364</v>
      </c>
      <c r="I468" s="10" t="s">
        <v>23</v>
      </c>
      <c r="J468" s="12" t="s">
        <v>1406</v>
      </c>
      <c r="K468" s="19" t="s">
        <v>22</v>
      </c>
      <c r="L468" s="10" t="s">
        <v>73</v>
      </c>
      <c r="M468" s="11">
        <f>D468+7</f>
        <v>46154</v>
      </c>
      <c r="N468" s="11">
        <f t="shared" ref="N468:N469" si="32">M468</f>
        <v>46154</v>
      </c>
      <c r="O468" s="10" t="s">
        <v>27</v>
      </c>
      <c r="P468" s="10" t="s">
        <v>65</v>
      </c>
      <c r="Q468" s="10"/>
      <c r="R468" s="14">
        <v>1</v>
      </c>
    </row>
    <row r="469" spans="1:19" x14ac:dyDescent="0.25">
      <c r="A469" s="25">
        <v>4</v>
      </c>
      <c r="B469" s="9" t="s">
        <v>1407</v>
      </c>
      <c r="C469" s="10" t="s">
        <v>35</v>
      </c>
      <c r="D469" s="11">
        <v>46150</v>
      </c>
      <c r="E469" s="10" t="s">
        <v>1408</v>
      </c>
      <c r="F469" s="10" t="s">
        <v>42</v>
      </c>
      <c r="G469" s="10" t="s">
        <v>22</v>
      </c>
      <c r="H469" s="10"/>
      <c r="I469" s="10" t="s">
        <v>23</v>
      </c>
      <c r="J469" s="12" t="s">
        <v>1409</v>
      </c>
      <c r="K469" s="19" t="s">
        <v>22</v>
      </c>
      <c r="L469" s="10" t="s">
        <v>73</v>
      </c>
      <c r="M469" s="11">
        <f>D469+7</f>
        <v>46157</v>
      </c>
      <c r="N469" s="11">
        <f t="shared" si="32"/>
        <v>46157</v>
      </c>
      <c r="O469" s="10" t="s">
        <v>27</v>
      </c>
      <c r="P469" s="10" t="s">
        <v>65</v>
      </c>
      <c r="Q469" s="10"/>
      <c r="R469" s="14">
        <v>3</v>
      </c>
    </row>
    <row r="470" spans="1:19" x14ac:dyDescent="0.25">
      <c r="A470" s="25">
        <v>5</v>
      </c>
      <c r="B470" s="9" t="s">
        <v>1410</v>
      </c>
      <c r="C470" s="10" t="s">
        <v>19</v>
      </c>
      <c r="D470" s="11">
        <v>46154</v>
      </c>
      <c r="E470" s="10" t="s">
        <v>1343</v>
      </c>
      <c r="F470" s="10" t="s">
        <v>86</v>
      </c>
      <c r="G470" s="10" t="s">
        <v>22</v>
      </c>
      <c r="H470" s="10" t="s">
        <v>1411</v>
      </c>
      <c r="I470" s="10" t="s">
        <v>23</v>
      </c>
      <c r="J470" s="32" t="s">
        <v>1412</v>
      </c>
      <c r="K470" s="19" t="s">
        <v>22</v>
      </c>
      <c r="L470" s="10" t="s">
        <v>26</v>
      </c>
      <c r="M470" s="11">
        <f>D470+7</f>
        <v>46161</v>
      </c>
      <c r="N470" s="11">
        <f>M470+22</f>
        <v>46183</v>
      </c>
      <c r="O470" s="10" t="s">
        <v>27</v>
      </c>
      <c r="P470" s="10" t="s">
        <v>58</v>
      </c>
      <c r="Q470" s="10"/>
      <c r="R470" s="14">
        <v>4</v>
      </c>
    </row>
    <row r="471" spans="1:19" x14ac:dyDescent="0.25">
      <c r="A471" s="25">
        <v>6</v>
      </c>
      <c r="B471" s="9" t="s">
        <v>1413</v>
      </c>
      <c r="C471" s="10" t="s">
        <v>19</v>
      </c>
      <c r="D471" s="11">
        <v>46155</v>
      </c>
      <c r="E471" s="10" t="s">
        <v>1414</v>
      </c>
      <c r="F471" s="10" t="s">
        <v>86</v>
      </c>
      <c r="G471" s="10" t="s">
        <v>22</v>
      </c>
      <c r="H471" s="10" t="s">
        <v>1415</v>
      </c>
      <c r="I471" s="10" t="s">
        <v>63</v>
      </c>
      <c r="J471" s="33" t="s">
        <v>1416</v>
      </c>
      <c r="K471" s="19" t="s">
        <v>22</v>
      </c>
      <c r="L471" s="10" t="s">
        <v>26</v>
      </c>
      <c r="M471" s="11">
        <f>D471+7</f>
        <v>46162</v>
      </c>
      <c r="N471" s="11"/>
      <c r="O471" s="10" t="s">
        <v>27</v>
      </c>
      <c r="P471" s="10" t="s">
        <v>31</v>
      </c>
      <c r="Q471" s="10"/>
      <c r="R471" s="14">
        <v>1</v>
      </c>
    </row>
    <row r="472" spans="1:19" x14ac:dyDescent="0.25">
      <c r="A472" s="25">
        <v>7</v>
      </c>
      <c r="B472" s="9" t="s">
        <v>1417</v>
      </c>
      <c r="C472" s="10" t="s">
        <v>19</v>
      </c>
      <c r="D472" s="11">
        <v>46160</v>
      </c>
      <c r="E472" s="10" t="s">
        <v>454</v>
      </c>
      <c r="F472" s="10" t="s">
        <v>1418</v>
      </c>
      <c r="G472" s="10" t="s">
        <v>22</v>
      </c>
      <c r="H472" s="10"/>
      <c r="I472" s="10" t="s">
        <v>23</v>
      </c>
      <c r="J472" s="12" t="s">
        <v>1419</v>
      </c>
      <c r="K472" s="19" t="s">
        <v>22</v>
      </c>
      <c r="L472" s="10" t="s">
        <v>95</v>
      </c>
      <c r="M472" s="11">
        <f>D472+10</f>
        <v>46170</v>
      </c>
      <c r="N472" s="11">
        <f>M472+8</f>
        <v>46178</v>
      </c>
      <c r="O472" s="10" t="s">
        <v>27</v>
      </c>
      <c r="P472" s="10" t="s">
        <v>58</v>
      </c>
      <c r="Q472" s="10"/>
      <c r="R472" s="14">
        <v>2</v>
      </c>
    </row>
    <row r="473" spans="1:19" x14ac:dyDescent="0.25">
      <c r="A473" s="25">
        <v>8</v>
      </c>
      <c r="B473" s="9" t="s">
        <v>1420</v>
      </c>
      <c r="C473" s="10" t="s">
        <v>35</v>
      </c>
      <c r="D473" s="11">
        <v>46160</v>
      </c>
      <c r="E473" s="10" t="s">
        <v>527</v>
      </c>
      <c r="F473" s="10" t="s">
        <v>21</v>
      </c>
      <c r="G473" s="10" t="s">
        <v>22</v>
      </c>
      <c r="H473" s="10"/>
      <c r="I473" s="10" t="s">
        <v>50</v>
      </c>
      <c r="J473" s="12" t="s">
        <v>1421</v>
      </c>
      <c r="K473" s="19" t="s">
        <v>22</v>
      </c>
      <c r="L473" s="10" t="s">
        <v>26</v>
      </c>
      <c r="M473" s="11">
        <f>D473+0</f>
        <v>46160</v>
      </c>
      <c r="N473" s="11">
        <f>M473</f>
        <v>46160</v>
      </c>
      <c r="O473" s="10" t="s">
        <v>27</v>
      </c>
      <c r="P473" s="10" t="s">
        <v>58</v>
      </c>
      <c r="Q473" s="10"/>
      <c r="R473" s="14">
        <v>1</v>
      </c>
    </row>
    <row r="474" spans="1:19" x14ac:dyDescent="0.25">
      <c r="A474" s="25">
        <v>9</v>
      </c>
      <c r="B474" s="9" t="s">
        <v>1422</v>
      </c>
      <c r="C474" s="10" t="s">
        <v>19</v>
      </c>
      <c r="D474" s="11">
        <v>46170</v>
      </c>
      <c r="E474" s="10" t="s">
        <v>1306</v>
      </c>
      <c r="F474" s="10" t="s">
        <v>86</v>
      </c>
      <c r="G474" s="10" t="s">
        <v>22</v>
      </c>
      <c r="H474" s="10"/>
      <c r="I474" s="10" t="s">
        <v>23</v>
      </c>
      <c r="J474" s="33" t="s">
        <v>1423</v>
      </c>
      <c r="K474" s="19" t="s">
        <v>22</v>
      </c>
      <c r="L474" s="10" t="s">
        <v>26</v>
      </c>
      <c r="M474" s="11">
        <f>D474+7</f>
        <v>46177</v>
      </c>
      <c r="N474" s="11">
        <f>M474+1</f>
        <v>46178</v>
      </c>
      <c r="O474" s="10" t="s">
        <v>39</v>
      </c>
      <c r="P474" s="10" t="s">
        <v>31</v>
      </c>
      <c r="Q474" s="10"/>
      <c r="R474" s="14">
        <v>4</v>
      </c>
    </row>
    <row r="475" spans="1:19" x14ac:dyDescent="0.25">
      <c r="A475" s="25">
        <v>10</v>
      </c>
      <c r="B475" s="9" t="s">
        <v>1424</v>
      </c>
      <c r="C475" s="10" t="s">
        <v>35</v>
      </c>
      <c r="D475" s="11">
        <v>46169</v>
      </c>
      <c r="E475" s="10" t="s">
        <v>588</v>
      </c>
      <c r="F475" s="10" t="s">
        <v>21</v>
      </c>
      <c r="G475" s="10" t="s">
        <v>22</v>
      </c>
      <c r="H475" s="10" t="s">
        <v>1425</v>
      </c>
      <c r="I475" s="10" t="s">
        <v>23</v>
      </c>
      <c r="J475" s="12" t="s">
        <v>1426</v>
      </c>
      <c r="K475" s="19" t="s">
        <v>22</v>
      </c>
      <c r="L475" s="10" t="s">
        <v>89</v>
      </c>
      <c r="M475" s="11">
        <f>D475+12</f>
        <v>46181</v>
      </c>
      <c r="N475" s="11"/>
      <c r="O475" s="10" t="s">
        <v>27</v>
      </c>
      <c r="P475" s="10" t="s">
        <v>31</v>
      </c>
      <c r="Q475" s="10"/>
      <c r="R475" s="14">
        <v>1</v>
      </c>
    </row>
    <row r="476" spans="1:19" x14ac:dyDescent="0.25">
      <c r="A476" s="25">
        <v>11</v>
      </c>
      <c r="B476" s="9" t="s">
        <v>1427</v>
      </c>
      <c r="C476" s="10" t="s">
        <v>19</v>
      </c>
      <c r="D476" s="11">
        <v>46170</v>
      </c>
      <c r="E476" s="10" t="s">
        <v>672</v>
      </c>
      <c r="F476" s="10" t="s">
        <v>42</v>
      </c>
      <c r="G476" s="10" t="s">
        <v>22</v>
      </c>
      <c r="H476" s="10" t="s">
        <v>1298</v>
      </c>
      <c r="I476" s="10" t="s">
        <v>23</v>
      </c>
      <c r="J476" s="33" t="s">
        <v>1428</v>
      </c>
      <c r="K476" s="19" t="s">
        <v>22</v>
      </c>
      <c r="L476" s="10" t="s">
        <v>111</v>
      </c>
      <c r="M476" s="11">
        <f>D476+1</f>
        <v>46171</v>
      </c>
      <c r="N476" s="11">
        <f>M476</f>
        <v>46171</v>
      </c>
      <c r="O476" s="10" t="s">
        <v>27</v>
      </c>
      <c r="P476" s="10" t="s">
        <v>45</v>
      </c>
      <c r="Q476" s="10"/>
      <c r="R476" s="14">
        <v>1</v>
      </c>
    </row>
    <row r="477" spans="1:19" x14ac:dyDescent="0.25">
      <c r="A477" s="25">
        <v>12</v>
      </c>
      <c r="B477" s="9" t="s">
        <v>1429</v>
      </c>
      <c r="C477" s="10" t="s">
        <v>35</v>
      </c>
      <c r="D477" s="11">
        <v>46170</v>
      </c>
      <c r="E477" s="10" t="s">
        <v>250</v>
      </c>
      <c r="F477" s="10" t="s">
        <v>250</v>
      </c>
      <c r="G477" s="10" t="s">
        <v>22</v>
      </c>
      <c r="H477" s="10"/>
      <c r="I477" s="10" t="s">
        <v>23</v>
      </c>
      <c r="J477" s="12" t="s">
        <v>1430</v>
      </c>
      <c r="K477" s="19" t="s">
        <v>22</v>
      </c>
      <c r="L477" s="10" t="s">
        <v>26</v>
      </c>
      <c r="M477" s="11">
        <f>D477+5</f>
        <v>46175</v>
      </c>
      <c r="N477" s="11">
        <f>M477</f>
        <v>46175</v>
      </c>
      <c r="O477" s="10" t="s">
        <v>27</v>
      </c>
      <c r="P477" s="10" t="s">
        <v>58</v>
      </c>
      <c r="Q477" s="10"/>
      <c r="R477" s="14">
        <v>1</v>
      </c>
    </row>
    <row r="478" spans="1:19" x14ac:dyDescent="0.25">
      <c r="A478" s="25">
        <v>13</v>
      </c>
      <c r="B478" s="9" t="s">
        <v>1431</v>
      </c>
      <c r="C478" s="10" t="s">
        <v>19</v>
      </c>
      <c r="D478" s="11">
        <v>46169</v>
      </c>
      <c r="E478" s="10" t="s">
        <v>22</v>
      </c>
      <c r="F478" s="10" t="s">
        <v>22</v>
      </c>
      <c r="G478" s="10" t="s">
        <v>22</v>
      </c>
      <c r="H478" s="10" t="s">
        <v>1432</v>
      </c>
      <c r="I478" s="10" t="s">
        <v>36</v>
      </c>
      <c r="J478" s="12" t="s">
        <v>1433</v>
      </c>
      <c r="K478" s="19" t="s">
        <v>22</v>
      </c>
      <c r="L478" s="10" t="s">
        <v>44</v>
      </c>
      <c r="M478" s="11">
        <f t="shared" ref="M478" si="33">D478+7</f>
        <v>46176</v>
      </c>
      <c r="N478" s="11"/>
      <c r="O478" s="10" t="s">
        <v>27</v>
      </c>
      <c r="P478" s="10" t="s">
        <v>31</v>
      </c>
      <c r="Q478" s="10"/>
      <c r="R478" s="14">
        <v>1</v>
      </c>
    </row>
    <row r="479" spans="1:19" x14ac:dyDescent="0.25">
      <c r="A479" s="25">
        <v>14</v>
      </c>
      <c r="B479" s="9" t="s">
        <v>1434</v>
      </c>
      <c r="C479" s="10" t="s">
        <v>19</v>
      </c>
      <c r="D479" s="11">
        <v>46169</v>
      </c>
      <c r="E479" s="10" t="s">
        <v>588</v>
      </c>
      <c r="F479" s="10" t="s">
        <v>21</v>
      </c>
      <c r="G479" s="10" t="s">
        <v>22</v>
      </c>
      <c r="H479" s="10" t="s">
        <v>521</v>
      </c>
      <c r="I479" s="10" t="s">
        <v>23</v>
      </c>
      <c r="J479" s="12" t="s">
        <v>1435</v>
      </c>
      <c r="K479" s="19" t="s">
        <v>22</v>
      </c>
      <c r="L479" s="10" t="s">
        <v>79</v>
      </c>
      <c r="M479" s="11">
        <f>D479+2</f>
        <v>46171</v>
      </c>
      <c r="N479" s="11">
        <f>M479</f>
        <v>46171</v>
      </c>
      <c r="O479" s="10" t="s">
        <v>27</v>
      </c>
      <c r="P479" s="10" t="s">
        <v>28</v>
      </c>
      <c r="Q479" s="10"/>
      <c r="R479" s="14">
        <v>3</v>
      </c>
    </row>
    <row r="480" spans="1:19" x14ac:dyDescent="0.25">
      <c r="A480" s="25">
        <v>15</v>
      </c>
      <c r="B480" s="9" t="s">
        <v>1436</v>
      </c>
      <c r="C480" s="10" t="s">
        <v>19</v>
      </c>
      <c r="D480" s="11">
        <v>46171</v>
      </c>
      <c r="E480" s="10" t="s">
        <v>588</v>
      </c>
      <c r="F480" s="10" t="s">
        <v>21</v>
      </c>
      <c r="G480" s="10" t="s">
        <v>22</v>
      </c>
      <c r="H480" s="10" t="s">
        <v>521</v>
      </c>
      <c r="I480" s="10" t="s">
        <v>23</v>
      </c>
      <c r="J480" s="12" t="s">
        <v>1437</v>
      </c>
      <c r="K480" s="19" t="s">
        <v>22</v>
      </c>
      <c r="L480" s="10" t="s">
        <v>79</v>
      </c>
      <c r="M480" s="11">
        <f>D480+4</f>
        <v>46175</v>
      </c>
      <c r="N480" s="11">
        <f t="shared" ref="N480:N481" si="34">M480</f>
        <v>46175</v>
      </c>
      <c r="O480" s="10" t="s">
        <v>27</v>
      </c>
      <c r="P480" s="10" t="s">
        <v>28</v>
      </c>
      <c r="Q480" s="10"/>
      <c r="R480" s="14">
        <v>1</v>
      </c>
    </row>
    <row r="481" spans="1:18" x14ac:dyDescent="0.25">
      <c r="A481" s="25">
        <v>16</v>
      </c>
      <c r="B481" s="9" t="s">
        <v>1438</v>
      </c>
      <c r="C481" s="10" t="s">
        <v>19</v>
      </c>
      <c r="D481" s="11">
        <v>46171</v>
      </c>
      <c r="E481" s="10" t="s">
        <v>454</v>
      </c>
      <c r="F481" s="10" t="s">
        <v>110</v>
      </c>
      <c r="G481" s="10" t="s">
        <v>22</v>
      </c>
      <c r="H481" s="10" t="s">
        <v>303</v>
      </c>
      <c r="I481" s="10" t="s">
        <v>23</v>
      </c>
      <c r="J481" s="12" t="s">
        <v>1439</v>
      </c>
      <c r="K481" s="19" t="s">
        <v>22</v>
      </c>
      <c r="L481" s="10" t="s">
        <v>79</v>
      </c>
      <c r="M481" s="11">
        <f>D481+4</f>
        <v>46175</v>
      </c>
      <c r="N481" s="11">
        <f t="shared" si="34"/>
        <v>46175</v>
      </c>
      <c r="O481" s="10" t="s">
        <v>27</v>
      </c>
      <c r="P481" s="10" t="s">
        <v>45</v>
      </c>
      <c r="Q481" s="10"/>
      <c r="R481" s="14">
        <v>4</v>
      </c>
    </row>
    <row r="482" spans="1:18" x14ac:dyDescent="0.25">
      <c r="A482" s="21">
        <v>1</v>
      </c>
      <c r="B482" s="9" t="s">
        <v>1440</v>
      </c>
      <c r="C482" s="10" t="s">
        <v>35</v>
      </c>
      <c r="D482" s="11">
        <v>46175</v>
      </c>
      <c r="E482" s="10" t="s">
        <v>588</v>
      </c>
      <c r="F482" s="10" t="s">
        <v>21</v>
      </c>
      <c r="G482" s="10" t="s">
        <v>22</v>
      </c>
      <c r="H482" s="10" t="s">
        <v>1441</v>
      </c>
      <c r="I482" s="10" t="s">
        <v>23</v>
      </c>
      <c r="J482" s="12" t="s">
        <v>1442</v>
      </c>
      <c r="K482" s="19" t="s">
        <v>22</v>
      </c>
      <c r="L482" s="10" t="s">
        <v>89</v>
      </c>
      <c r="M482" s="11">
        <f>D482+3</f>
        <v>46178</v>
      </c>
      <c r="N482" s="11"/>
      <c r="O482" s="10" t="s">
        <v>27</v>
      </c>
      <c r="P482" s="10" t="s">
        <v>31</v>
      </c>
      <c r="Q482" s="10"/>
      <c r="R482" s="14">
        <v>2</v>
      </c>
    </row>
    <row r="483" spans="1:18" x14ac:dyDescent="0.25">
      <c r="A483" s="21">
        <v>2</v>
      </c>
      <c r="B483" s="9" t="s">
        <v>1443</v>
      </c>
      <c r="C483" s="10" t="s">
        <v>35</v>
      </c>
      <c r="D483" s="11">
        <v>46176</v>
      </c>
      <c r="E483" s="10" t="s">
        <v>588</v>
      </c>
      <c r="F483" s="10" t="s">
        <v>21</v>
      </c>
      <c r="G483" s="10" t="s">
        <v>22</v>
      </c>
      <c r="H483" s="10" t="s">
        <v>203</v>
      </c>
      <c r="I483" s="10" t="s">
        <v>23</v>
      </c>
      <c r="J483" s="12" t="s">
        <v>1444</v>
      </c>
      <c r="K483" s="19" t="s">
        <v>22</v>
      </c>
      <c r="L483" s="10" t="s">
        <v>30</v>
      </c>
      <c r="M483" s="11">
        <f>D483+2</f>
        <v>46178</v>
      </c>
      <c r="N483" s="11">
        <f>M483</f>
        <v>46178</v>
      </c>
      <c r="O483" s="10" t="s">
        <v>27</v>
      </c>
      <c r="P483" s="10" t="s">
        <v>45</v>
      </c>
      <c r="Q483" s="10"/>
      <c r="R483" s="14">
        <v>2</v>
      </c>
    </row>
    <row r="484" spans="1:18" x14ac:dyDescent="0.25">
      <c r="A484" s="21">
        <v>3</v>
      </c>
      <c r="B484" s="9" t="s">
        <v>1445</v>
      </c>
      <c r="C484" s="10" t="s">
        <v>19</v>
      </c>
      <c r="D484" s="11">
        <v>46176</v>
      </c>
      <c r="E484" s="10" t="s">
        <v>672</v>
      </c>
      <c r="F484" s="10" t="s">
        <v>42</v>
      </c>
      <c r="G484" s="10" t="s">
        <v>22</v>
      </c>
      <c r="H484" s="10" t="s">
        <v>323</v>
      </c>
      <c r="I484" s="10" t="s">
        <v>23</v>
      </c>
      <c r="J484" s="32" t="s">
        <v>1446</v>
      </c>
      <c r="K484" s="19" t="s">
        <v>22</v>
      </c>
      <c r="L484" s="10" t="s">
        <v>26</v>
      </c>
      <c r="M484" s="11">
        <f>D484+4</f>
        <v>46180</v>
      </c>
      <c r="N484" s="11">
        <f>M484+6</f>
        <v>46186</v>
      </c>
      <c r="O484" s="10" t="s">
        <v>27</v>
      </c>
      <c r="P484" s="10" t="s">
        <v>58</v>
      </c>
      <c r="Q484" s="10"/>
      <c r="R484" s="14">
        <v>2</v>
      </c>
    </row>
    <row r="485" spans="1:18" x14ac:dyDescent="0.25">
      <c r="A485" s="21">
        <v>4</v>
      </c>
      <c r="B485" s="9" t="s">
        <v>1447</v>
      </c>
      <c r="C485" s="10" t="s">
        <v>19</v>
      </c>
      <c r="D485" s="11">
        <v>46176</v>
      </c>
      <c r="E485" s="10" t="s">
        <v>454</v>
      </c>
      <c r="F485" s="10" t="s">
        <v>110</v>
      </c>
      <c r="G485" s="10" t="s">
        <v>22</v>
      </c>
      <c r="H485" s="10" t="s">
        <v>303</v>
      </c>
      <c r="I485" s="10" t="s">
        <v>23</v>
      </c>
      <c r="J485" s="12" t="s">
        <v>1419</v>
      </c>
      <c r="K485" s="19" t="s">
        <v>22</v>
      </c>
      <c r="L485" s="10" t="s">
        <v>95</v>
      </c>
      <c r="M485" s="11">
        <f>D485+2</f>
        <v>46178</v>
      </c>
      <c r="N485" s="11">
        <f>M485</f>
        <v>46178</v>
      </c>
      <c r="O485" s="10" t="s">
        <v>27</v>
      </c>
      <c r="P485" s="10" t="s">
        <v>58</v>
      </c>
      <c r="Q485" s="10"/>
      <c r="R485" s="14">
        <v>2</v>
      </c>
    </row>
    <row r="486" spans="1:18" x14ac:dyDescent="0.25">
      <c r="A486" s="21">
        <v>5</v>
      </c>
      <c r="B486" s="9" t="s">
        <v>1448</v>
      </c>
      <c r="C486" s="10" t="s">
        <v>19</v>
      </c>
      <c r="D486" s="11">
        <v>46176</v>
      </c>
      <c r="E486" s="10" t="s">
        <v>155</v>
      </c>
      <c r="F486" s="10" t="s">
        <v>1275</v>
      </c>
      <c r="G486" s="10" t="s">
        <v>22</v>
      </c>
      <c r="H486" s="10" t="s">
        <v>1449</v>
      </c>
      <c r="I486" s="10" t="s">
        <v>23</v>
      </c>
      <c r="J486" s="12" t="s">
        <v>1419</v>
      </c>
      <c r="K486" s="19" t="s">
        <v>22</v>
      </c>
      <c r="L486" s="10" t="s">
        <v>95</v>
      </c>
      <c r="M486" s="11">
        <f>D486+2</f>
        <v>46178</v>
      </c>
      <c r="N486" s="11">
        <f>M486</f>
        <v>46178</v>
      </c>
      <c r="O486" s="10" t="s">
        <v>27</v>
      </c>
      <c r="P486" s="10" t="s">
        <v>58</v>
      </c>
      <c r="Q486" s="10"/>
      <c r="R486" s="14">
        <v>1</v>
      </c>
    </row>
    <row r="487" spans="1:18" x14ac:dyDescent="0.25">
      <c r="A487" s="21">
        <v>6</v>
      </c>
      <c r="B487" s="9" t="s">
        <v>1450</v>
      </c>
      <c r="C487" s="10" t="s">
        <v>35</v>
      </c>
      <c r="D487" s="11">
        <v>46177</v>
      </c>
      <c r="E487" s="10" t="s">
        <v>1240</v>
      </c>
      <c r="F487" s="10" t="s">
        <v>21</v>
      </c>
      <c r="G487" s="10" t="s">
        <v>22</v>
      </c>
      <c r="H487" s="10" t="s">
        <v>1451</v>
      </c>
      <c r="I487" s="10" t="s">
        <v>23</v>
      </c>
      <c r="J487" s="12" t="s">
        <v>1452</v>
      </c>
      <c r="K487" s="19" t="s">
        <v>22</v>
      </c>
      <c r="L487" s="10" t="s">
        <v>73</v>
      </c>
      <c r="M487" s="11">
        <f>D487+7</f>
        <v>46184</v>
      </c>
      <c r="N487" s="11"/>
      <c r="O487" s="10" t="s">
        <v>27</v>
      </c>
      <c r="P487" s="10" t="s">
        <v>31</v>
      </c>
      <c r="Q487" s="10"/>
      <c r="R487" s="14">
        <v>1</v>
      </c>
    </row>
    <row r="488" spans="1:18" x14ac:dyDescent="0.25">
      <c r="A488" s="21">
        <v>7</v>
      </c>
      <c r="B488" s="9" t="s">
        <v>1453</v>
      </c>
      <c r="C488" s="10" t="s">
        <v>19</v>
      </c>
      <c r="D488" s="11">
        <v>46178</v>
      </c>
      <c r="E488" s="10" t="s">
        <v>1454</v>
      </c>
      <c r="F488" s="10" t="s">
        <v>1455</v>
      </c>
      <c r="G488" s="10" t="s">
        <v>22</v>
      </c>
      <c r="H488" s="10" t="s">
        <v>1456</v>
      </c>
      <c r="I488" s="10" t="s">
        <v>23</v>
      </c>
      <c r="J488" s="33" t="s">
        <v>1457</v>
      </c>
      <c r="K488" s="19" t="s">
        <v>22</v>
      </c>
      <c r="L488" s="10" t="s">
        <v>26</v>
      </c>
      <c r="M488" s="11">
        <f>D488+7</f>
        <v>46185</v>
      </c>
      <c r="N488" s="11"/>
      <c r="O488" s="10" t="s">
        <v>27</v>
      </c>
      <c r="P488" s="10" t="s">
        <v>31</v>
      </c>
      <c r="Q488" s="10"/>
      <c r="R488" s="14">
        <v>1</v>
      </c>
    </row>
    <row r="489" spans="1:18" x14ac:dyDescent="0.25">
      <c r="A489" s="21">
        <v>8</v>
      </c>
      <c r="B489" s="9" t="s">
        <v>1458</v>
      </c>
      <c r="C489" s="10" t="s">
        <v>49</v>
      </c>
      <c r="D489" s="11">
        <v>46178</v>
      </c>
      <c r="E489" s="10" t="s">
        <v>1459</v>
      </c>
      <c r="F489" s="10" t="s">
        <v>21</v>
      </c>
      <c r="G489" s="10" t="s">
        <v>22</v>
      </c>
      <c r="H489" s="10" t="s">
        <v>1460</v>
      </c>
      <c r="I489" s="10" t="s">
        <v>50</v>
      </c>
      <c r="J489" s="12" t="s">
        <v>1461</v>
      </c>
      <c r="K489" s="19" t="s">
        <v>22</v>
      </c>
      <c r="L489" s="10" t="s">
        <v>99</v>
      </c>
      <c r="M489" s="11">
        <f>D489+7</f>
        <v>46185</v>
      </c>
      <c r="N489" s="11"/>
      <c r="O489" s="10" t="s">
        <v>27</v>
      </c>
      <c r="P489" s="10" t="s">
        <v>31</v>
      </c>
      <c r="Q489" s="10"/>
      <c r="R489" s="14">
        <v>1</v>
      </c>
    </row>
    <row r="490" spans="1:18" x14ac:dyDescent="0.25">
      <c r="A490" s="21">
        <v>9</v>
      </c>
      <c r="B490" s="9" t="s">
        <v>1462</v>
      </c>
      <c r="C490" s="10" t="s">
        <v>19</v>
      </c>
      <c r="D490" s="11">
        <v>46178</v>
      </c>
      <c r="E490" s="10" t="s">
        <v>1463</v>
      </c>
      <c r="F490" s="10" t="s">
        <v>21</v>
      </c>
      <c r="G490" s="10" t="s">
        <v>22</v>
      </c>
      <c r="H490" s="10" t="s">
        <v>1464</v>
      </c>
      <c r="I490" s="10" t="s">
        <v>23</v>
      </c>
      <c r="J490" s="12" t="s">
        <v>1465</v>
      </c>
      <c r="K490" s="19" t="s">
        <v>22</v>
      </c>
      <c r="L490" s="10" t="s">
        <v>64</v>
      </c>
      <c r="M490" s="11">
        <f>D490+7</f>
        <v>46185</v>
      </c>
      <c r="N490" s="11"/>
      <c r="O490" s="10" t="s">
        <v>27</v>
      </c>
      <c r="P490" s="10" t="s">
        <v>31</v>
      </c>
      <c r="Q490" s="10"/>
      <c r="R490" s="14">
        <v>1</v>
      </c>
    </row>
    <row r="491" spans="1:18" x14ac:dyDescent="0.25">
      <c r="A491" s="21">
        <v>10</v>
      </c>
      <c r="B491" s="9" t="s">
        <v>1466</v>
      </c>
      <c r="C491" s="10" t="s">
        <v>49</v>
      </c>
      <c r="D491" s="11">
        <v>46181</v>
      </c>
      <c r="E491" s="10" t="s">
        <v>211</v>
      </c>
      <c r="F491" s="10" t="s">
        <v>21</v>
      </c>
      <c r="G491" s="10" t="s">
        <v>22</v>
      </c>
      <c r="H491" s="10" t="s">
        <v>443</v>
      </c>
      <c r="I491" s="10" t="s">
        <v>56</v>
      </c>
      <c r="J491" s="12" t="s">
        <v>1467</v>
      </c>
      <c r="K491" s="19" t="s">
        <v>22</v>
      </c>
      <c r="L491" s="10" t="s">
        <v>30</v>
      </c>
      <c r="M491" s="11">
        <f>D491+3</f>
        <v>46184</v>
      </c>
      <c r="N491" s="11"/>
      <c r="O491" s="10" t="s">
        <v>27</v>
      </c>
      <c r="P491" s="10" t="s">
        <v>31</v>
      </c>
      <c r="Q491" s="10"/>
      <c r="R491" s="14">
        <v>1</v>
      </c>
    </row>
    <row r="492" spans="1:18" x14ac:dyDescent="0.25">
      <c r="A492" s="21">
        <v>11</v>
      </c>
      <c r="B492" s="9" t="s">
        <v>1468</v>
      </c>
      <c r="C492" s="10" t="s">
        <v>49</v>
      </c>
      <c r="D492" s="11">
        <v>46181</v>
      </c>
      <c r="E492" s="10" t="s">
        <v>159</v>
      </c>
      <c r="F492" s="10" t="s">
        <v>21</v>
      </c>
      <c r="G492" s="10" t="s">
        <v>22</v>
      </c>
      <c r="H492" s="10" t="s">
        <v>1135</v>
      </c>
      <c r="I492" s="10" t="s">
        <v>50</v>
      </c>
      <c r="J492" s="12" t="s">
        <v>1469</v>
      </c>
      <c r="K492" s="19" t="s">
        <v>22</v>
      </c>
      <c r="L492" s="10" t="s">
        <v>89</v>
      </c>
      <c r="M492" s="11">
        <f>D492</f>
        <v>46181</v>
      </c>
      <c r="N492" s="11">
        <f>M492</f>
        <v>46181</v>
      </c>
      <c r="O492" s="10" t="s">
        <v>27</v>
      </c>
      <c r="P492" s="10" t="s">
        <v>58</v>
      </c>
      <c r="Q492" s="10"/>
      <c r="R492" s="14">
        <v>1</v>
      </c>
    </row>
    <row r="493" spans="1:18" x14ac:dyDescent="0.25">
      <c r="A493" s="21">
        <v>12</v>
      </c>
      <c r="B493" s="9" t="s">
        <v>1470</v>
      </c>
      <c r="C493" s="10" t="s">
        <v>19</v>
      </c>
      <c r="D493" s="11">
        <v>46182</v>
      </c>
      <c r="E493" s="10"/>
      <c r="F493" s="10" t="s">
        <v>42</v>
      </c>
      <c r="G493" s="10" t="s">
        <v>22</v>
      </c>
      <c r="H493" s="10" t="s">
        <v>1471</v>
      </c>
      <c r="I493" s="10" t="s">
        <v>23</v>
      </c>
      <c r="J493" s="12" t="s">
        <v>1472</v>
      </c>
      <c r="K493" s="19" t="s">
        <v>22</v>
      </c>
      <c r="L493" s="10" t="s">
        <v>26</v>
      </c>
      <c r="M493" s="11">
        <f>D493+10</f>
        <v>46192</v>
      </c>
      <c r="N493" s="11"/>
      <c r="O493" s="10" t="s">
        <v>27</v>
      </c>
      <c r="P493" s="10" t="s">
        <v>31</v>
      </c>
      <c r="Q493" s="10"/>
      <c r="R493" s="14">
        <v>1</v>
      </c>
    </row>
    <row r="494" spans="1:18" x14ac:dyDescent="0.25">
      <c r="A494" s="21">
        <v>13</v>
      </c>
      <c r="B494" s="9" t="s">
        <v>1473</v>
      </c>
      <c r="C494" s="10" t="s">
        <v>19</v>
      </c>
      <c r="D494" s="11">
        <v>46184</v>
      </c>
      <c r="E494" s="10" t="s">
        <v>524</v>
      </c>
      <c r="F494" s="10" t="s">
        <v>21</v>
      </c>
      <c r="G494" s="10" t="s">
        <v>22</v>
      </c>
      <c r="H494" s="10" t="s">
        <v>1474</v>
      </c>
      <c r="I494" s="10" t="s">
        <v>23</v>
      </c>
      <c r="J494" s="12" t="s">
        <v>1475</v>
      </c>
      <c r="K494" s="19" t="s">
        <v>22</v>
      </c>
      <c r="L494" s="10" t="s">
        <v>73</v>
      </c>
      <c r="M494" s="11">
        <f>D494+7</f>
        <v>46191</v>
      </c>
      <c r="N494" s="11"/>
      <c r="O494" s="10" t="s">
        <v>27</v>
      </c>
      <c r="P494" s="10" t="s">
        <v>31</v>
      </c>
      <c r="Q494" s="10"/>
      <c r="R494" s="14">
        <v>1</v>
      </c>
    </row>
    <row r="495" spans="1:18" x14ac:dyDescent="0.25">
      <c r="A495" s="21">
        <v>14</v>
      </c>
      <c r="B495" s="9" t="s">
        <v>1476</v>
      </c>
      <c r="C495" s="10" t="s">
        <v>49</v>
      </c>
      <c r="D495" s="11">
        <v>46184</v>
      </c>
      <c r="E495" s="10" t="s">
        <v>527</v>
      </c>
      <c r="F495" s="10" t="s">
        <v>21</v>
      </c>
      <c r="G495" s="10" t="s">
        <v>22</v>
      </c>
      <c r="H495" s="10" t="s">
        <v>250</v>
      </c>
      <c r="I495" s="10" t="s">
        <v>50</v>
      </c>
      <c r="J495" s="12" t="s">
        <v>1477</v>
      </c>
      <c r="K495" s="19" t="s">
        <v>22</v>
      </c>
      <c r="L495" s="10" t="s">
        <v>30</v>
      </c>
      <c r="M495" s="11">
        <f>D495+2</f>
        <v>46186</v>
      </c>
      <c r="N495" s="11"/>
      <c r="O495" s="10" t="s">
        <v>27</v>
      </c>
      <c r="P495" s="10" t="s">
        <v>31</v>
      </c>
      <c r="Q495" s="10"/>
      <c r="R495" s="14">
        <v>1</v>
      </c>
    </row>
    <row r="496" spans="1:18" x14ac:dyDescent="0.25">
      <c r="A496" s="21">
        <v>15</v>
      </c>
      <c r="B496" s="9" t="s">
        <v>1478</v>
      </c>
      <c r="C496" s="10" t="s">
        <v>19</v>
      </c>
      <c r="D496" s="11">
        <v>46184</v>
      </c>
      <c r="E496" s="10" t="s">
        <v>454</v>
      </c>
      <c r="F496" s="10" t="s">
        <v>1418</v>
      </c>
      <c r="G496" s="10" t="s">
        <v>22</v>
      </c>
      <c r="H496" s="10" t="s">
        <v>676</v>
      </c>
      <c r="I496" s="10" t="s">
        <v>23</v>
      </c>
      <c r="J496" s="12" t="s">
        <v>1479</v>
      </c>
      <c r="K496" s="19" t="s">
        <v>22</v>
      </c>
      <c r="L496" s="10" t="s">
        <v>44</v>
      </c>
      <c r="M496" s="11">
        <f>D496+7</f>
        <v>46191</v>
      </c>
      <c r="N496" s="11"/>
      <c r="O496" s="10" t="s">
        <v>27</v>
      </c>
      <c r="P496" s="10" t="s">
        <v>31</v>
      </c>
      <c r="Q496" s="10"/>
      <c r="R496" s="14">
        <v>1</v>
      </c>
    </row>
    <row r="497" spans="1:19" x14ac:dyDescent="0.25">
      <c r="A497" s="21">
        <v>16</v>
      </c>
      <c r="B497" s="9" t="s">
        <v>1480</v>
      </c>
      <c r="C497" s="10" t="s">
        <v>19</v>
      </c>
      <c r="D497" s="11">
        <v>46181</v>
      </c>
      <c r="E497" s="10" t="s">
        <v>1481</v>
      </c>
      <c r="F497" s="10" t="s">
        <v>42</v>
      </c>
      <c r="G497" s="10" t="s">
        <v>22</v>
      </c>
      <c r="H497" s="10" t="s">
        <v>168</v>
      </c>
      <c r="I497" s="10" t="s">
        <v>68</v>
      </c>
      <c r="J497" s="12" t="s">
        <v>1482</v>
      </c>
      <c r="K497" s="19" t="s">
        <v>22</v>
      </c>
      <c r="L497" s="10" t="s">
        <v>89</v>
      </c>
      <c r="M497" s="11">
        <f>D497+7</f>
        <v>46188</v>
      </c>
      <c r="N497" s="11"/>
      <c r="O497" s="10" t="s">
        <v>27</v>
      </c>
      <c r="P497" s="10" t="s">
        <v>31</v>
      </c>
      <c r="Q497" s="10"/>
      <c r="R497" s="14">
        <v>1</v>
      </c>
    </row>
    <row r="498" spans="1:19" x14ac:dyDescent="0.25">
      <c r="A498" s="21">
        <v>17</v>
      </c>
      <c r="B498" s="9" t="s">
        <v>1483</v>
      </c>
      <c r="C498" s="10" t="s">
        <v>49</v>
      </c>
      <c r="D498" s="11">
        <v>46182</v>
      </c>
      <c r="E498" s="10" t="s">
        <v>1484</v>
      </c>
      <c r="F498" s="10" t="s">
        <v>1062</v>
      </c>
      <c r="G498" s="10" t="s">
        <v>22</v>
      </c>
      <c r="H498" s="10" t="s">
        <v>250</v>
      </c>
      <c r="I498" s="10" t="s">
        <v>56</v>
      </c>
      <c r="J498" s="12" t="s">
        <v>1485</v>
      </c>
      <c r="K498" s="19" t="s">
        <v>22</v>
      </c>
      <c r="L498" s="10" t="s">
        <v>69</v>
      </c>
      <c r="M498" s="11">
        <f>D498+7</f>
        <v>46189</v>
      </c>
      <c r="N498" s="11"/>
      <c r="O498" s="10" t="s">
        <v>27</v>
      </c>
      <c r="P498" s="10" t="s">
        <v>31</v>
      </c>
      <c r="Q498" s="10"/>
      <c r="R498" s="14">
        <v>1</v>
      </c>
    </row>
    <row r="499" spans="1:19" x14ac:dyDescent="0.25">
      <c r="A499" s="21">
        <v>18</v>
      </c>
      <c r="B499" s="9" t="s">
        <v>1486</v>
      </c>
      <c r="C499" s="10" t="s">
        <v>49</v>
      </c>
      <c r="D499" s="11">
        <v>46185</v>
      </c>
      <c r="E499" s="10" t="s">
        <v>250</v>
      </c>
      <c r="F499" s="10" t="s">
        <v>250</v>
      </c>
      <c r="G499" s="10" t="s">
        <v>22</v>
      </c>
      <c r="H499" s="10" t="s">
        <v>250</v>
      </c>
      <c r="I499" s="10" t="s">
        <v>50</v>
      </c>
      <c r="J499" s="12" t="s">
        <v>1487</v>
      </c>
      <c r="K499" s="19" t="s">
        <v>22</v>
      </c>
      <c r="L499" s="10" t="s">
        <v>56</v>
      </c>
      <c r="M499" s="11">
        <f>D499</f>
        <v>46185</v>
      </c>
      <c r="N499" s="11">
        <f>M499</f>
        <v>46185</v>
      </c>
      <c r="O499" s="10" t="s">
        <v>27</v>
      </c>
      <c r="P499" s="10" t="s">
        <v>58</v>
      </c>
      <c r="Q499" s="10"/>
      <c r="R499" s="14">
        <v>0</v>
      </c>
    </row>
    <row r="500" spans="1:19" x14ac:dyDescent="0.25">
      <c r="A500" s="21">
        <v>19</v>
      </c>
      <c r="B500" s="9" t="s">
        <v>1488</v>
      </c>
      <c r="C500" s="10" t="s">
        <v>19</v>
      </c>
      <c r="D500" s="11">
        <v>46185</v>
      </c>
      <c r="E500" s="10" t="s">
        <v>306</v>
      </c>
      <c r="F500" s="10" t="s">
        <v>21</v>
      </c>
      <c r="G500" s="10" t="s">
        <v>22</v>
      </c>
      <c r="H500" s="10" t="s">
        <v>1279</v>
      </c>
      <c r="I500" s="10" t="s">
        <v>23</v>
      </c>
      <c r="J500" s="12" t="s">
        <v>1489</v>
      </c>
      <c r="K500" s="19" t="s">
        <v>22</v>
      </c>
      <c r="L500" s="10" t="s">
        <v>117</v>
      </c>
      <c r="M500" s="11">
        <f>D500+7</f>
        <v>46192</v>
      </c>
      <c r="N500" s="11"/>
      <c r="O500" s="10" t="s">
        <v>27</v>
      </c>
      <c r="P500" s="10" t="s">
        <v>31</v>
      </c>
      <c r="Q500" s="10"/>
      <c r="R500" s="14">
        <v>1</v>
      </c>
    </row>
    <row r="501" spans="1:19" x14ac:dyDescent="0.25">
      <c r="A501" s="21">
        <v>20</v>
      </c>
      <c r="B501" s="9" t="s">
        <v>1490</v>
      </c>
      <c r="C501" s="10"/>
      <c r="D501" s="11"/>
      <c r="E501" s="10"/>
      <c r="F501" s="10"/>
      <c r="G501" s="10"/>
      <c r="H501" s="10"/>
      <c r="I501" s="10"/>
      <c r="J501" s="12"/>
      <c r="K501" s="19"/>
      <c r="L501" s="10"/>
      <c r="M501" s="11"/>
      <c r="N501" s="11"/>
      <c r="O501" s="10"/>
      <c r="P501" s="10"/>
      <c r="Q501" s="10"/>
      <c r="R501" s="14"/>
    </row>
    <row r="502" spans="1:19" x14ac:dyDescent="0.25">
      <c r="A502" s="21">
        <v>21</v>
      </c>
      <c r="B502" s="9" t="s">
        <v>1491</v>
      </c>
      <c r="C502" s="10"/>
      <c r="D502" s="11"/>
      <c r="E502" s="10"/>
      <c r="F502" s="10"/>
      <c r="G502" s="10"/>
      <c r="H502" s="10"/>
      <c r="I502" s="10"/>
      <c r="J502" s="12"/>
      <c r="K502" s="19"/>
      <c r="L502" s="10"/>
      <c r="M502" s="11"/>
      <c r="N502" s="11"/>
      <c r="O502" s="10"/>
      <c r="P502" s="10"/>
      <c r="Q502" s="10"/>
      <c r="R502" s="14"/>
    </row>
    <row r="503" spans="1:19" x14ac:dyDescent="0.25">
      <c r="A503" s="21">
        <v>22</v>
      </c>
      <c r="B503" s="9" t="s">
        <v>1492</v>
      </c>
      <c r="C503" s="10"/>
      <c r="D503" s="11"/>
      <c r="E503" s="10"/>
      <c r="F503" s="10"/>
      <c r="G503" s="10"/>
      <c r="H503" s="10"/>
      <c r="I503" s="10"/>
      <c r="J503" s="12"/>
      <c r="K503" s="19"/>
      <c r="L503" s="10"/>
      <c r="M503" s="11"/>
      <c r="N503" s="11"/>
      <c r="O503" s="10"/>
      <c r="P503" s="10"/>
      <c r="Q503" s="10"/>
      <c r="R503" s="14"/>
    </row>
    <row r="504" spans="1:19" x14ac:dyDescent="0.25">
      <c r="A504" s="21">
        <v>23</v>
      </c>
      <c r="B504" s="9" t="s">
        <v>1493</v>
      </c>
      <c r="C504" s="10"/>
      <c r="D504" s="11"/>
      <c r="E504" s="10"/>
      <c r="F504" s="10"/>
      <c r="G504" s="10"/>
      <c r="H504" s="10"/>
      <c r="I504" s="10"/>
      <c r="J504" s="12"/>
      <c r="K504" s="19"/>
      <c r="L504" s="10"/>
      <c r="M504" s="11"/>
      <c r="N504" s="11"/>
      <c r="O504" s="10"/>
      <c r="P504" s="10"/>
      <c r="Q504" s="10"/>
      <c r="R504" s="14"/>
    </row>
    <row r="505" spans="1:19" x14ac:dyDescent="0.25">
      <c r="A505" s="21">
        <v>24</v>
      </c>
      <c r="B505" s="9" t="s">
        <v>1494</v>
      </c>
      <c r="C505" s="10"/>
      <c r="D505" s="11"/>
      <c r="E505" s="10"/>
      <c r="F505" s="10"/>
      <c r="G505" s="10"/>
      <c r="H505" s="10"/>
      <c r="I505" s="10"/>
      <c r="J505" s="12"/>
      <c r="K505" s="19"/>
      <c r="L505" s="10"/>
      <c r="M505" s="11"/>
      <c r="N505" s="11"/>
      <c r="O505" s="10"/>
      <c r="P505" s="10"/>
      <c r="Q505" s="10"/>
      <c r="R505" s="14"/>
    </row>
    <row r="506" spans="1:19" x14ac:dyDescent="0.25">
      <c r="A506" s="21">
        <v>25</v>
      </c>
      <c r="B506" s="9" t="s">
        <v>1495</v>
      </c>
      <c r="C506" s="10"/>
      <c r="D506" s="11"/>
      <c r="E506" s="10"/>
      <c r="F506" s="10"/>
      <c r="G506" s="10"/>
      <c r="H506" s="10"/>
      <c r="I506" s="10"/>
      <c r="J506" s="12"/>
      <c r="K506" s="19"/>
      <c r="L506" s="10"/>
      <c r="M506" s="11"/>
      <c r="N506" s="11"/>
      <c r="O506" s="10"/>
      <c r="P506" s="10"/>
      <c r="Q506" s="10"/>
      <c r="R506" s="14"/>
    </row>
    <row r="507" spans="1:19" x14ac:dyDescent="0.25">
      <c r="A507" s="21">
        <v>26</v>
      </c>
      <c r="B507" s="9" t="s">
        <v>1496</v>
      </c>
      <c r="C507" s="10"/>
      <c r="D507" s="11"/>
      <c r="E507" s="10"/>
      <c r="F507" s="10"/>
      <c r="G507" s="10"/>
      <c r="H507" s="10"/>
      <c r="I507" s="10"/>
      <c r="J507" s="12"/>
      <c r="K507" s="19"/>
      <c r="L507" s="10"/>
      <c r="M507" s="11"/>
      <c r="N507" s="11"/>
      <c r="O507" s="10"/>
      <c r="P507" s="10"/>
      <c r="Q507" s="10"/>
      <c r="R507" s="14"/>
    </row>
    <row r="508" spans="1:19" x14ac:dyDescent="0.25">
      <c r="A508" s="21">
        <v>27</v>
      </c>
      <c r="B508" s="9" t="s">
        <v>1497</v>
      </c>
      <c r="C508" s="10"/>
      <c r="D508" s="11"/>
      <c r="E508" s="10"/>
      <c r="F508" s="10"/>
      <c r="G508" s="10" t="s">
        <v>22</v>
      </c>
      <c r="H508" s="10"/>
      <c r="I508" s="10"/>
      <c r="J508" s="12"/>
      <c r="K508" s="19"/>
      <c r="L508" s="10"/>
      <c r="M508" s="11"/>
      <c r="N508" s="11"/>
      <c r="O508" s="10"/>
      <c r="P508" s="10"/>
      <c r="Q508" s="10"/>
      <c r="R508" s="14"/>
    </row>
    <row r="509" spans="1:19" x14ac:dyDescent="0.25">
      <c r="A509" s="21">
        <v>28</v>
      </c>
      <c r="B509" s="9" t="s">
        <v>1498</v>
      </c>
      <c r="C509" s="10"/>
      <c r="D509" s="11"/>
      <c r="E509" s="10"/>
      <c r="F509" s="10"/>
      <c r="G509" s="10" t="s">
        <v>22</v>
      </c>
      <c r="H509" s="10"/>
      <c r="I509" s="10"/>
      <c r="J509" s="12"/>
      <c r="K509" s="19"/>
      <c r="L509" s="10"/>
      <c r="M509" s="11"/>
      <c r="N509" s="11"/>
      <c r="O509" s="10"/>
      <c r="P509" s="10"/>
      <c r="Q509" s="10"/>
      <c r="R509" s="14"/>
    </row>
    <row r="510" spans="1:19" x14ac:dyDescent="0.25">
      <c r="A510" s="21">
        <v>29</v>
      </c>
      <c r="B510" s="9" t="s">
        <v>1499</v>
      </c>
      <c r="C510" s="10"/>
      <c r="D510" s="11"/>
      <c r="E510" s="10"/>
      <c r="F510" s="10"/>
      <c r="G510" s="10" t="s">
        <v>22</v>
      </c>
      <c r="H510" s="10"/>
      <c r="I510" s="10"/>
      <c r="J510" s="12"/>
      <c r="K510" s="19"/>
      <c r="L510" s="10"/>
      <c r="M510" s="11"/>
      <c r="N510" s="10"/>
      <c r="O510" s="10"/>
      <c r="P510" s="10"/>
      <c r="Q510" s="10"/>
      <c r="R510" s="14">
        <v>1</v>
      </c>
      <c r="S510" s="24">
        <f>SUM(R466:R510)</f>
        <v>53</v>
      </c>
    </row>
    <row r="511" spans="1:19" x14ac:dyDescent="0.25">
      <c r="A511" s="21"/>
      <c r="B511" s="34"/>
      <c r="C511" s="34"/>
      <c r="D511" s="34"/>
      <c r="E511" s="34"/>
      <c r="F511" s="34"/>
      <c r="G511" s="34"/>
      <c r="H511" s="34"/>
      <c r="I511" s="34"/>
      <c r="J511" s="35"/>
      <c r="K511" s="35"/>
      <c r="L511" s="34"/>
      <c r="M511" s="34"/>
      <c r="N511" s="34"/>
      <c r="O511" s="34"/>
      <c r="P511" s="34"/>
      <c r="Q511" s="34"/>
      <c r="R511" s="34"/>
    </row>
    <row r="512" spans="1:19" x14ac:dyDescent="0.25">
      <c r="A512" s="21"/>
      <c r="B512" s="34"/>
      <c r="C512" s="34"/>
      <c r="D512" s="34"/>
      <c r="E512" s="34"/>
      <c r="F512" s="34"/>
      <c r="G512" s="34"/>
      <c r="H512" s="34"/>
      <c r="I512" s="34"/>
      <c r="J512" s="35"/>
      <c r="K512" s="35"/>
      <c r="L512" s="34"/>
      <c r="M512" s="34"/>
      <c r="N512" s="34"/>
      <c r="O512" s="34"/>
      <c r="P512" s="34"/>
      <c r="Q512" s="34"/>
      <c r="R512" s="34"/>
    </row>
    <row r="513" spans="1:20" x14ac:dyDescent="0.25">
      <c r="A513" s="21"/>
      <c r="B513" s="34"/>
      <c r="C513" s="34"/>
      <c r="D513" s="34"/>
      <c r="E513" s="34"/>
      <c r="F513" s="34"/>
      <c r="G513" s="34"/>
      <c r="H513" s="34"/>
      <c r="I513" s="34"/>
      <c r="J513" s="35"/>
      <c r="K513" s="35"/>
      <c r="L513" s="34"/>
      <c r="M513" s="34"/>
      <c r="N513" s="34"/>
      <c r="O513" s="34"/>
      <c r="P513" s="34"/>
      <c r="Q513" s="34"/>
      <c r="R513" s="34"/>
    </row>
    <row r="514" spans="1:20" x14ac:dyDescent="0.25">
      <c r="A514" s="21"/>
      <c r="B514" s="34"/>
      <c r="C514" s="34"/>
      <c r="D514" s="34"/>
      <c r="E514" s="34"/>
      <c r="F514" s="34"/>
      <c r="G514" s="34"/>
      <c r="H514" s="34"/>
      <c r="I514" s="34"/>
      <c r="J514" s="35"/>
      <c r="K514" s="35"/>
      <c r="L514" s="34"/>
      <c r="M514" s="34"/>
      <c r="N514" s="34"/>
      <c r="O514" s="34"/>
      <c r="P514" s="34"/>
      <c r="Q514" s="34"/>
      <c r="R514" s="34"/>
    </row>
    <row r="516" spans="1:20" ht="21" x14ac:dyDescent="0.35">
      <c r="Q516" s="36" t="s">
        <v>1500</v>
      </c>
      <c r="R516" s="37">
        <f>SUM(R4:R510)</f>
        <v>1870</v>
      </c>
      <c r="S516" s="41" t="s">
        <v>1501</v>
      </c>
      <c r="T516" s="41"/>
    </row>
    <row r="517" spans="1:20" x14ac:dyDescent="0.25">
      <c r="S517" s="10" t="s">
        <v>31</v>
      </c>
      <c r="T517" s="10">
        <f>COUNTIF(P4:P510,W4)</f>
        <v>25</v>
      </c>
    </row>
    <row r="518" spans="1:20" x14ac:dyDescent="0.25">
      <c r="E518" s="38" t="s">
        <v>1502</v>
      </c>
      <c r="S518" s="10" t="s">
        <v>38</v>
      </c>
      <c r="T518" s="10">
        <f>COUNTIF(P4:P510,W5)</f>
        <v>38</v>
      </c>
    </row>
    <row r="519" spans="1:20" x14ac:dyDescent="0.25">
      <c r="S519" s="10" t="s">
        <v>45</v>
      </c>
      <c r="T519" s="10">
        <f>COUNTIF(P4:P510,W6)</f>
        <v>60</v>
      </c>
    </row>
    <row r="520" spans="1:20" x14ac:dyDescent="0.25">
      <c r="S520" s="10" t="s">
        <v>28</v>
      </c>
      <c r="T520" s="10">
        <f>COUNTIF(P4:P510,W7)</f>
        <v>169</v>
      </c>
    </row>
    <row r="521" spans="1:20" x14ac:dyDescent="0.25">
      <c r="S521" s="39" t="s">
        <v>58</v>
      </c>
      <c r="T521" s="10">
        <f>COUNTIF(P4:P510,W8)</f>
        <v>108</v>
      </c>
    </row>
    <row r="522" spans="1:20" x14ac:dyDescent="0.25">
      <c r="S522" s="10" t="s">
        <v>65</v>
      </c>
      <c r="T522" s="10">
        <f>COUNTIF(P4:P510,W9)</f>
        <v>97</v>
      </c>
    </row>
    <row r="523" spans="1:20" x14ac:dyDescent="0.25">
      <c r="S523" s="10" t="s">
        <v>1503</v>
      </c>
      <c r="T523" s="10">
        <f>SUM(T517:T522)</f>
        <v>497</v>
      </c>
    </row>
  </sheetData>
  <autoFilter ref="B3:X522" xr:uid="{DC21EC59-560B-433C-99FF-3659CD9AF28B}"/>
  <mergeCells count="2">
    <mergeCell ref="A1:B1"/>
    <mergeCell ref="S516:T516"/>
  </mergeCells>
  <conditionalFormatting sqref="A1 C1:XFD1 B92:XFD92 A92:A93 B93:H93 J93:XFD93 A94:XFD157 A158:R158 T158:XFD158 A159:XFD178 A179:I179 K179:M179 O179:XFD187 N179:N223 A180:M187 B188:M189 O188:R189 T188:XFD189 A188:A462 C190:M223 O190:XFD223 B190:B462 C224:XFD233 C234:R234 T234:XFD234 C235:XFD235 C236:R236 T236:XFD236 C237:XFD266 C267:P267 R267:XFD267 C268:XFD332 O333:R333 T333:XFD333 C333:N338 O334:XFD338 C339:XFD365 C366:G366 I366:XFD366 C367:XFD412 C413:G413 I413:XFD413 C414:XFD416 C417:D417 F417:XFD417 C418:XFD418 C419:G431 I419:XFD431 C432:XFD436 C437:G437 I437:XFD437 C438:XFD441 C442:G444 I442:XFD444 C449:G451 I449:XFD451 C452:XFD454 C455:G459 I459:XFD459 C460:XFD462 A463:XFD510 B511:XFD514 A511:A1048576 Q515:XFD515 B515:N522 S516 Q516:R522 U516:XFD523 S517:T523 B523:R523 B524:XFD1048576 A2:XFD13 A26:XFD91 A14:U25 W14:XFD25 V14:V24">
    <cfRule type="expression" dxfId="25" priority="19">
      <formula>ROW()=CELL("row")</formula>
    </cfRule>
    <cfRule type="expression" priority="20">
      <formula>ROW()=CELL("row")</formula>
    </cfRule>
  </conditionalFormatting>
  <conditionalFormatting sqref="C445:XFD448">
    <cfRule type="expression" dxfId="24" priority="11">
      <formula>ROW()=CELL("row")</formula>
    </cfRule>
    <cfRule type="expression" priority="12">
      <formula>ROW()=CELL("row")</formula>
    </cfRule>
  </conditionalFormatting>
  <conditionalFormatting sqref="H451">
    <cfRule type="expression" dxfId="23" priority="9">
      <formula>ROW()=CELL("row")</formula>
    </cfRule>
    <cfRule type="expression" priority="10">
      <formula>ROW()=CELL("row")</formula>
    </cfRule>
  </conditionalFormatting>
  <conditionalFormatting sqref="H455:XFD458">
    <cfRule type="expression" dxfId="22" priority="1">
      <formula>ROW()=CELL("row")</formula>
    </cfRule>
    <cfRule type="expression" priority="2">
      <formula>ROW()=CELL("row")</formula>
    </cfRule>
  </conditionalFormatting>
  <conditionalFormatting sqref="P4:P446 P448:P455 P457:P510">
    <cfRule type="cellIs" dxfId="21" priority="27" operator="equal">
      <formula>$W$9</formula>
    </cfRule>
    <cfRule type="cellIs" dxfId="20" priority="33" operator="equal">
      <formula>$W$5</formula>
    </cfRule>
    <cfRule type="cellIs" dxfId="19" priority="34" operator="equal">
      <formula>$W$4</formula>
    </cfRule>
    <cfRule type="cellIs" dxfId="18" priority="35" operator="equal">
      <formula>$W$7</formula>
    </cfRule>
    <cfRule type="cellIs" dxfId="17" priority="36" operator="equal">
      <formula>$W$6</formula>
    </cfRule>
  </conditionalFormatting>
  <conditionalFormatting sqref="P4:P510">
    <cfRule type="cellIs" dxfId="16" priority="4" operator="equal">
      <formula>$W$8</formula>
    </cfRule>
  </conditionalFormatting>
  <conditionalFormatting sqref="P447">
    <cfRule type="cellIs" dxfId="15" priority="13" operator="equal">
      <formula>$W$9</formula>
    </cfRule>
    <cfRule type="cellIs" dxfId="14" priority="15" operator="equal">
      <formula>$W$5</formula>
    </cfRule>
    <cfRule type="cellIs" dxfId="13" priority="16" operator="equal">
      <formula>$W$4</formula>
    </cfRule>
    <cfRule type="cellIs" dxfId="12" priority="17" operator="equal">
      <formula>$W$7</formula>
    </cfRule>
    <cfRule type="cellIs" dxfId="11" priority="18" operator="equal">
      <formula>$W$6</formula>
    </cfRule>
  </conditionalFormatting>
  <conditionalFormatting sqref="P456">
    <cfRule type="cellIs" dxfId="10" priority="3" operator="equal">
      <formula>$W$9</formula>
    </cfRule>
    <cfRule type="cellIs" dxfId="9" priority="5" operator="equal">
      <formula>$W$5</formula>
    </cfRule>
    <cfRule type="cellIs" dxfId="8" priority="6" operator="equal">
      <formula>$W$4</formula>
    </cfRule>
    <cfRule type="cellIs" dxfId="7" priority="7" operator="equal">
      <formula>$W$7</formula>
    </cfRule>
    <cfRule type="cellIs" dxfId="6" priority="8" operator="equal">
      <formula>$W$6</formula>
    </cfRule>
  </conditionalFormatting>
  <conditionalFormatting sqref="S517:S522">
    <cfRule type="cellIs" dxfId="5" priority="23" operator="equal">
      <formula>$W$5</formula>
    </cfRule>
    <cfRule type="cellIs" dxfId="4" priority="24" operator="equal">
      <formula>$W$4</formula>
    </cfRule>
    <cfRule type="cellIs" dxfId="3" priority="25" operator="equal">
      <formula>$W$7</formula>
    </cfRule>
    <cfRule type="cellIs" dxfId="2" priority="26" operator="equal">
      <formula>$W$6</formula>
    </cfRule>
  </conditionalFormatting>
  <conditionalFormatting sqref="S522">
    <cfRule type="cellIs" dxfId="1" priority="21" operator="equal">
      <formula>$W$9</formula>
    </cfRule>
    <cfRule type="cellIs" dxfId="0" priority="22" operator="equal">
      <formula>$W$8</formula>
    </cfRule>
  </conditionalFormatting>
  <dataValidations count="6">
    <dataValidation type="list" allowBlank="1" showInputMessage="1" showErrorMessage="1" sqref="I4:I510" xr:uid="{E9B9E3DD-A8B7-4D51-9216-610B5D2908C0}">
      <formula1>$U$4:$U$11</formula1>
    </dataValidation>
    <dataValidation type="list" allowBlank="1" showInputMessage="1" showErrorMessage="1" sqref="C4:C510" xr:uid="{1CFEF394-22C9-47D7-9CF7-E3B49BD3F839}">
      <formula1>$T$4:$T$7</formula1>
    </dataValidation>
    <dataValidation type="list" allowBlank="1" showInputMessage="1" showErrorMessage="1" sqref="O4:O510" xr:uid="{45D6A2E2-5100-43FF-A530-6CDBE927032E}">
      <formula1>$X$4:$X$8</formula1>
    </dataValidation>
    <dataValidation type="list" allowBlank="1" showInputMessage="1" showErrorMessage="1" sqref="S522 P4:P510" xr:uid="{C85E5595-0460-45F1-9874-D62754F0536D}">
      <formula1>$W$4:$W$9</formula1>
    </dataValidation>
    <dataValidation type="list" allowBlank="1" showInputMessage="1" showErrorMessage="1" sqref="S517:S521" xr:uid="{EEC7A779-0441-427B-98AF-194475F9F35C}">
      <formula1>$W$4:$W$8</formula1>
    </dataValidation>
    <dataValidation type="list" allowBlank="1" showInputMessage="1" showErrorMessage="1" sqref="L1 L4:L1048576" xr:uid="{D62ACD46-0160-44D0-973B-B4BBF74B3BA4}">
      <formula1>$V$4:$V$26</formula1>
    </dataValidation>
  </dataValidations>
  <hyperlinks>
    <hyperlink ref="Q39" r:id="rId1" xr:uid="{3FE3FB9F-C0A3-4180-948F-932D2C689780}"/>
    <hyperlink ref="Q44" r:id="rId2" xr:uid="{99DE719D-363B-43A0-ACBD-6486CEBB1CF9}"/>
    <hyperlink ref="Q42" r:id="rId3" xr:uid="{EEB66359-B512-40DE-8A70-61585394D826}"/>
    <hyperlink ref="Q38" r:id="rId4" xr:uid="{3518139B-FC6A-4FCE-AD19-1154281C634B}"/>
    <hyperlink ref="Q59" r:id="rId5" xr:uid="{687948A1-5AE0-4B1C-9E4B-374C4BD2C4C1}"/>
    <hyperlink ref="Q40" r:id="rId6" xr:uid="{AB6AD5E9-AB47-4FA5-A4F1-04E4D88079F4}"/>
    <hyperlink ref="Q34" r:id="rId7" xr:uid="{8C924F9E-1FA6-4CA2-A120-738600A8725F}"/>
    <hyperlink ref="Q60" r:id="rId8" xr:uid="{0BD37DEC-F386-4DD2-A8A1-D415F84DE473}"/>
    <hyperlink ref="Q61" r:id="rId9" xr:uid="{F5DEB1B1-AA08-4AB5-B24E-A2504C6FDD73}"/>
    <hyperlink ref="Q62" r:id="rId10" xr:uid="{741764BA-04CE-4562-B32B-0E2F64296AF7}"/>
    <hyperlink ref="Q21" r:id="rId11" xr:uid="{C60ECB87-D236-47C9-BC2B-F055D6A9094C}"/>
    <hyperlink ref="Q33" r:id="rId12" xr:uid="{9195CF82-9B9D-4829-8B33-20B0808E9E3E}"/>
    <hyperlink ref="Q32" r:id="rId13" xr:uid="{0E5F2661-F9A3-43FD-B033-B4D649805CF9}"/>
    <hyperlink ref="Q31" r:id="rId14" xr:uid="{7137BE84-9605-4657-8D74-637C835A3D54}"/>
    <hyperlink ref="Q28" r:id="rId15" xr:uid="{B072CD3D-AB90-44B9-8B2E-8641A1AB0DB0}"/>
    <hyperlink ref="Q64" r:id="rId16" xr:uid="{6EB511E2-BF2F-4CBB-BE45-623D65822B14}"/>
    <hyperlink ref="Q52" r:id="rId17" xr:uid="{452C5F4C-95D2-4258-92B8-8310BC94B417}"/>
    <hyperlink ref="Q51" r:id="rId18" xr:uid="{C4FECBC3-6035-48BD-9857-C7DC28D517AC}"/>
    <hyperlink ref="Q37" r:id="rId19" xr:uid="{D8F3E04F-9307-4566-BAE0-CF4D4FC9C79C}"/>
    <hyperlink ref="Q36" r:id="rId20" xr:uid="{38F48AD7-839B-4F96-8916-B5C07D215942}"/>
    <hyperlink ref="Q74" r:id="rId21" xr:uid="{C45620DA-94AD-45D1-AD7B-6A59B9F684EA}"/>
    <hyperlink ref="Q70" r:id="rId22" xr:uid="{933D98B4-A385-47E9-BA48-7ECA0E857029}"/>
    <hyperlink ref="Q26" r:id="rId23" xr:uid="{B0413EE0-08B3-4070-8759-B539C65C7A90}"/>
    <hyperlink ref="Q102" r:id="rId24" xr:uid="{CE5741DF-E29F-4D1D-A079-2244EA1ACC58}"/>
    <hyperlink ref="Q119" r:id="rId25" xr:uid="{09D7C89D-53C3-4080-AF3A-690924DE8CD5}"/>
    <hyperlink ref="Q129" r:id="rId26" xr:uid="{39331BCA-54F6-48B7-935F-C80AE31879EF}"/>
    <hyperlink ref="Q135" r:id="rId27" xr:uid="{6F10C253-2F32-4FAD-8E9D-725A6805463C}"/>
    <hyperlink ref="Q237" r:id="rId28" xr:uid="{A0840F2D-0A2F-4DC9-9C9E-6C782BF8A665}"/>
    <hyperlink ref="E518" r:id="rId29" xr:uid="{DAF602FE-D7DE-48B9-BBE7-F10A4E34303D}"/>
    <hyperlink ref="Q269" r:id="rId30" xr:uid="{D09B8F87-29D1-4F90-99E1-53859ED9BA31}"/>
    <hyperlink ref="Q266" r:id="rId31" xr:uid="{99E5A00B-D7E7-47C2-9541-447A5A66807B}"/>
    <hyperlink ref="Q294" r:id="rId32" xr:uid="{7FE2434C-268A-404F-BEF3-D59796662F6E}"/>
    <hyperlink ref="A1:B1" location="'Tech sales'!A530" display="Bottom of sheet" xr:uid="{FAE0924F-B33D-469A-B4B3-995BD778DD72}"/>
    <hyperlink ref="Q383" r:id="rId33" xr:uid="{4A19547F-C730-45A4-961D-62AADCE755D3}"/>
  </hyperlinks>
  <pageMargins left="0.7" right="0.7" top="0.75" bottom="0.75" header="0.3" footer="0.3"/>
  <pageSetup paperSize="9" orientation="portrait" r:id="rId34"/>
  <drawing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 Mc Glynn</dc:creator>
  <cp:lastModifiedBy>Juan Nunez</cp:lastModifiedBy>
  <dcterms:created xsi:type="dcterms:W3CDTF">2026-06-15T12:36:05Z</dcterms:created>
  <dcterms:modified xsi:type="dcterms:W3CDTF">2026-06-29T08:56:11Z</dcterms:modified>
</cp:coreProperties>
</file>